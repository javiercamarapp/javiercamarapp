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upos" sheetId="1" state="visible" r:id="rId3"/>
    <sheet name="Terceros" sheetId="2" state="visible" r:id="rId4"/>
    <sheet name="Bracket" sheetId="3" state="visible" r:id="rId5"/>
    <sheet name="Extr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<sst xmlns="http://schemas.openxmlformats.org/spreadsheetml/2006/main" count="693" uniqueCount="229">
  <si>
    <t xml:space="preserve">QUINIELA MUNDIAL 2026 — FASE DE GRUPOS (llena SOLO las columnas D y E)</t>
  </si>
  <si>
    <t xml:space="preserve">Posiciones AUTO-CALCULADAS: pts → dif → GF → alfabético. NO editar columnas H-Q. Template reconstruido 11-jun-2026 (ver data/estructura_torneo.md).</t>
  </si>
  <si>
    <t xml:space="preserve">GRUPO A</t>
  </si>
  <si>
    <t xml:space="preserve">#</t>
  </si>
  <si>
    <t xml:space="preserve">Fecha</t>
  </si>
  <si>
    <t xml:space="preserve">Local</t>
  </si>
  <si>
    <t xml:space="preserve">GL</t>
  </si>
  <si>
    <t xml:space="preserve">GV</t>
  </si>
  <si>
    <t xml:space="preserve">Visitante</t>
  </si>
  <si>
    <t xml:space="preserve">Equipo</t>
  </si>
  <si>
    <t xml:space="preserve">PJ</t>
  </si>
  <si>
    <t xml:space="preserve">Pts</t>
  </si>
  <si>
    <t xml:space="preserve">GF</t>
  </si>
  <si>
    <t xml:space="preserve">GC</t>
  </si>
  <si>
    <t xml:space="preserve">Dif</t>
  </si>
  <si>
    <t xml:space="preserve">Score</t>
  </si>
  <si>
    <t xml:space="preserve">Pos</t>
  </si>
  <si>
    <t xml:space="preserve">2026-06-11</t>
  </si>
  <si>
    <t xml:space="preserve">México</t>
  </si>
  <si>
    <t xml:space="preserve">Sudáfrica</t>
  </si>
  <si>
    <t xml:space="preserve">1°:</t>
  </si>
  <si>
    <t xml:space="preserve">Corea del Sur</t>
  </si>
  <si>
    <t xml:space="preserve">Chequia</t>
  </si>
  <si>
    <t xml:space="preserve">2°:</t>
  </si>
  <si>
    <t xml:space="preserve">2026-06-18</t>
  </si>
  <si>
    <t xml:space="preserve">3°:</t>
  </si>
  <si>
    <t xml:space="preserve">2026-06-24</t>
  </si>
  <si>
    <t xml:space="preserve">GRUPO B</t>
  </si>
  <si>
    <t xml:space="preserve">2026-06-12</t>
  </si>
  <si>
    <t xml:space="preserve">Canadá</t>
  </si>
  <si>
    <t xml:space="preserve">Bosnia y Herzegovina</t>
  </si>
  <si>
    <t xml:space="preserve">2026-06-13</t>
  </si>
  <si>
    <t xml:space="preserve">Catar</t>
  </si>
  <si>
    <t xml:space="preserve">Suiza</t>
  </si>
  <si>
    <t xml:space="preserve">GRUPO C</t>
  </si>
  <si>
    <t xml:space="preserve">Brasil</t>
  </si>
  <si>
    <t xml:space="preserve">Marruecos</t>
  </si>
  <si>
    <t xml:space="preserve">Haití</t>
  </si>
  <si>
    <t xml:space="preserve">Escocia</t>
  </si>
  <si>
    <t xml:space="preserve">2026-06-19</t>
  </si>
  <si>
    <t xml:space="preserve">GRUPO D</t>
  </si>
  <si>
    <t xml:space="preserve">Estados Unidos</t>
  </si>
  <si>
    <t xml:space="preserve">Paraguay</t>
  </si>
  <si>
    <t xml:space="preserve">Australia</t>
  </si>
  <si>
    <t xml:space="preserve">Turquía</t>
  </si>
  <si>
    <t xml:space="preserve">2026-06-25</t>
  </si>
  <si>
    <t xml:space="preserve">GRUPO E</t>
  </si>
  <si>
    <t xml:space="preserve">2026-06-14</t>
  </si>
  <si>
    <t xml:space="preserve">Alemania</t>
  </si>
  <si>
    <t xml:space="preserve">Curazao</t>
  </si>
  <si>
    <t xml:space="preserve">Costa de Marfil</t>
  </si>
  <si>
    <t xml:space="preserve">Ecuador</t>
  </si>
  <si>
    <t xml:space="preserve">2026-06-20</t>
  </si>
  <si>
    <t xml:space="preserve">GRUPO F</t>
  </si>
  <si>
    <t xml:space="preserve">Holanda</t>
  </si>
  <si>
    <t xml:space="preserve">Japón</t>
  </si>
  <si>
    <t xml:space="preserve">Suecia</t>
  </si>
  <si>
    <t xml:space="preserve">Túnez</t>
  </si>
  <si>
    <t xml:space="preserve">GRUPO G</t>
  </si>
  <si>
    <t xml:space="preserve">2026-06-15</t>
  </si>
  <si>
    <t xml:space="preserve">Bélgica</t>
  </si>
  <si>
    <t xml:space="preserve">Egipto</t>
  </si>
  <si>
    <t xml:space="preserve">Irán</t>
  </si>
  <si>
    <t xml:space="preserve">Nueva Zelanda</t>
  </si>
  <si>
    <t xml:space="preserve">2026-06-21</t>
  </si>
  <si>
    <t xml:space="preserve">2026-06-26</t>
  </si>
  <si>
    <t xml:space="preserve">GRUPO H</t>
  </si>
  <si>
    <t xml:space="preserve">España</t>
  </si>
  <si>
    <t xml:space="preserve">Cabo Verde</t>
  </si>
  <si>
    <t xml:space="preserve">Arabia Saudita</t>
  </si>
  <si>
    <t xml:space="preserve">Uruguay</t>
  </si>
  <si>
    <t xml:space="preserve">GRUPO I</t>
  </si>
  <si>
    <t xml:space="preserve">2026-06-16</t>
  </si>
  <si>
    <t xml:space="preserve">Francia</t>
  </si>
  <si>
    <t xml:space="preserve">Senegal</t>
  </si>
  <si>
    <t xml:space="preserve">Irak</t>
  </si>
  <si>
    <t xml:space="preserve">Noruega</t>
  </si>
  <si>
    <t xml:space="preserve">2026-06-22</t>
  </si>
  <si>
    <t xml:space="preserve">GRUPO J</t>
  </si>
  <si>
    <t xml:space="preserve">Argentina</t>
  </si>
  <si>
    <t xml:space="preserve">Argelia</t>
  </si>
  <si>
    <t xml:space="preserve">Austria</t>
  </si>
  <si>
    <t xml:space="preserve">Jordania</t>
  </si>
  <si>
    <t xml:space="preserve">2026-06-27</t>
  </si>
  <si>
    <t xml:space="preserve">GRUPO K</t>
  </si>
  <si>
    <t xml:space="preserve">2026-06-17</t>
  </si>
  <si>
    <t xml:space="preserve">Portugal</t>
  </si>
  <si>
    <t xml:space="preserve">RD Congo</t>
  </si>
  <si>
    <t xml:space="preserve">Uzbekistán</t>
  </si>
  <si>
    <t xml:space="preserve">Colombia</t>
  </si>
  <si>
    <t xml:space="preserve">2026-06-23</t>
  </si>
  <si>
    <t xml:space="preserve">GRUPO L</t>
  </si>
  <si>
    <t xml:space="preserve">Inglaterra</t>
  </si>
  <si>
    <t xml:space="preserve">Croacia</t>
  </si>
  <si>
    <t xml:space="preserve">Ghana</t>
  </si>
  <si>
    <t xml:space="preserve">Panamá</t>
  </si>
  <si>
    <t xml:space="preserve">RANKING DE TERCEROS LUGARES (auto-calculado; los 8 primeros avanzan)</t>
  </si>
  <si>
    <t xml:space="preserve">Grupo</t>
  </si>
  <si>
    <t xml:space="preserve">Rank</t>
  </si>
  <si>
    <t xml:space="preserve">¿Avanza?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</si>
  <si>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</si>
  <si>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</si>
  <si>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</si>
  <si>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</si>
  <si>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</si>
  <si>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</si>
  <si>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</si>
  <si>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</si>
  <si>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</si>
  <si>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</si>
  <si>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</si>
  <si>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</si>
  <si>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ELIMINATORIA (partidos 73-104) — llena SOLO GL/GV; SIN empates (penales = +1 gol al ganador)</t>
  </si>
  <si>
    <t xml:space="preserve">Slots 1X/2X y ganadores W## por fórmula. Slots de terceros (3°): los escribe la simulación como VALOR (asignación FIFA aproximada por elegibilidad — ver data/bracket.json).</t>
  </si>
  <si>
    <t xml:space="preserve">Ronda</t>
  </si>
  <si>
    <t xml:space="preserve">Ciudad</t>
  </si>
  <si>
    <t xml:space="preserve">Slot L</t>
  </si>
  <si>
    <t xml:space="preserve">Slot V</t>
  </si>
  <si>
    <t xml:space="preserve">Dieciseisavos</t>
  </si>
  <si>
    <t xml:space="preserve">2026-06-29</t>
  </si>
  <si>
    <t xml:space="preserve">Los Ángeles</t>
  </si>
  <si>
    <t xml:space="preserve">1J</t>
  </si>
  <si>
    <t xml:space="preserve">2H</t>
  </si>
  <si>
    <t xml:space="preserve">2026-07-03</t>
  </si>
  <si>
    <t xml:space="preserve">Dallas</t>
  </si>
  <si>
    <t xml:space="preserve">2D</t>
  </si>
  <si>
    <t xml:space="preserve">2G</t>
  </si>
  <si>
    <t xml:space="preserve">Filadelfia</t>
  </si>
  <si>
    <t xml:space="preserve">1K</t>
  </si>
  <si>
    <t xml:space="preserve">3_DEIJL</t>
  </si>
  <si>
    <t xml:space="preserve">2026-07-02</t>
  </si>
  <si>
    <t xml:space="preserve">Toronto</t>
  </si>
  <si>
    <t xml:space="preserve">1G</t>
  </si>
  <si>
    <t xml:space="preserve">3_AEHIJ</t>
  </si>
  <si>
    <t xml:space="preserve">Houston</t>
  </si>
  <si>
    <t xml:space="preserve">1C</t>
  </si>
  <si>
    <t xml:space="preserve">2F</t>
  </si>
  <si>
    <t xml:space="preserve">2026-06-30</t>
  </si>
  <si>
    <t xml:space="preserve">San Francisco</t>
  </si>
  <si>
    <t xml:space="preserve">2E</t>
  </si>
  <si>
    <t xml:space="preserve">2I</t>
  </si>
  <si>
    <t xml:space="preserve">Boston</t>
  </si>
  <si>
    <t xml:space="preserve">1L</t>
  </si>
  <si>
    <t xml:space="preserve">3_EHIJK</t>
  </si>
  <si>
    <t xml:space="preserve">Ciudad de México</t>
  </si>
  <si>
    <t xml:space="preserve">1A</t>
  </si>
  <si>
    <t xml:space="preserve">3_CEFHI</t>
  </si>
  <si>
    <t xml:space="preserve">1H</t>
  </si>
  <si>
    <t xml:space="preserve">2J</t>
  </si>
  <si>
    <t xml:space="preserve">2026-06-28</t>
  </si>
  <si>
    <t xml:space="preserve">2A</t>
  </si>
  <si>
    <t xml:space="preserve">2B</t>
  </si>
  <si>
    <t xml:space="preserve">Monterrey</t>
  </si>
  <si>
    <t xml:space="preserve">1F</t>
  </si>
  <si>
    <t xml:space="preserve">2C</t>
  </si>
  <si>
    <t xml:space="preserve">Vancouver</t>
  </si>
  <si>
    <t xml:space="preserve">1B</t>
  </si>
  <si>
    <t xml:space="preserve">3_EFGIJ</t>
  </si>
  <si>
    <t xml:space="preserve">Nueva York</t>
  </si>
  <si>
    <t xml:space="preserve">1I</t>
  </si>
  <si>
    <t xml:space="preserve">3_CDFGH</t>
  </si>
  <si>
    <t xml:space="preserve">2026-07-01</t>
  </si>
  <si>
    <t xml:space="preserve">Atlanta</t>
  </si>
  <si>
    <t xml:space="preserve">2K</t>
  </si>
  <si>
    <t xml:space="preserve">2L</t>
  </si>
  <si>
    <t xml:space="preserve">Seattle</t>
  </si>
  <si>
    <t xml:space="preserve">1E</t>
  </si>
  <si>
    <t xml:space="preserve">3_ABCDF</t>
  </si>
  <si>
    <t xml:space="preserve">Kansas City</t>
  </si>
  <si>
    <t xml:space="preserve">1D</t>
  </si>
  <si>
    <t xml:space="preserve">3_BEFIJ</t>
  </si>
  <si>
    <t xml:space="preserve">Octavos</t>
  </si>
  <si>
    <t xml:space="preserve">2026-07-04</t>
  </si>
  <si>
    <t xml:space="preserve">W73</t>
  </si>
  <si>
    <t xml:space="preserve">W74</t>
  </si>
  <si>
    <t xml:space="preserve">W75</t>
  </si>
  <si>
    <t xml:space="preserve">W76</t>
  </si>
  <si>
    <t xml:space="preserve">2026-07-05</t>
  </si>
  <si>
    <t xml:space="preserve">W77</t>
  </si>
  <si>
    <t xml:space="preserve">W78</t>
  </si>
  <si>
    <t xml:space="preserve">W79</t>
  </si>
  <si>
    <t xml:space="preserve">W80</t>
  </si>
  <si>
    <t xml:space="preserve">2026-07-06</t>
  </si>
  <si>
    <t xml:space="preserve">W81</t>
  </si>
  <si>
    <t xml:space="preserve">W82</t>
  </si>
  <si>
    <t xml:space="preserve">W83</t>
  </si>
  <si>
    <t xml:space="preserve">W84</t>
  </si>
  <si>
    <t xml:space="preserve">2026-07-07</t>
  </si>
  <si>
    <t xml:space="preserve">W85</t>
  </si>
  <si>
    <t xml:space="preserve">W86</t>
  </si>
  <si>
    <t xml:space="preserve">W87</t>
  </si>
  <si>
    <t xml:space="preserve">W88</t>
  </si>
  <si>
    <t xml:space="preserve">Cuartos</t>
  </si>
  <si>
    <t xml:space="preserve">2026-07-11</t>
  </si>
  <si>
    <t xml:space="preserve">W89</t>
  </si>
  <si>
    <t xml:space="preserve">W90</t>
  </si>
  <si>
    <t xml:space="preserve">Miami</t>
  </si>
  <si>
    <t xml:space="preserve">W91</t>
  </si>
  <si>
    <t xml:space="preserve">W92</t>
  </si>
  <si>
    <t xml:space="preserve">2026-07-09</t>
  </si>
  <si>
    <t xml:space="preserve">W93</t>
  </si>
  <si>
    <t xml:space="preserve">W94</t>
  </si>
  <si>
    <t xml:space="preserve">2026-07-10</t>
  </si>
  <si>
    <t xml:space="preserve">W95</t>
  </si>
  <si>
    <t xml:space="preserve">W96</t>
  </si>
  <si>
    <t xml:space="preserve">Semifinal</t>
  </si>
  <si>
    <t xml:space="preserve">2026-07-15</t>
  </si>
  <si>
    <t xml:space="preserve">W97</t>
  </si>
  <si>
    <t xml:space="preserve">W98</t>
  </si>
  <si>
    <t xml:space="preserve">2026-07-14</t>
  </si>
  <si>
    <t xml:space="preserve">W99</t>
  </si>
  <si>
    <t xml:space="preserve">W100</t>
  </si>
  <si>
    <t xml:space="preserve">3er lugar</t>
  </si>
  <si>
    <t xml:space="preserve">2026-07-18</t>
  </si>
  <si>
    <t xml:space="preserve">L101</t>
  </si>
  <si>
    <t xml:space="preserve">L102</t>
  </si>
  <si>
    <t xml:space="preserve">FINAL</t>
  </si>
  <si>
    <t xml:space="preserve">2026-07-19</t>
  </si>
  <si>
    <t xml:space="preserve">W101</t>
  </si>
  <si>
    <t xml:space="preserve">W102</t>
  </si>
  <si>
    <t xml:space="preserve">CAMPEÓN:</t>
  </si>
  <si>
    <t xml:space="preserve">PREGUNTAS EXTRA (25 pts c/u)</t>
  </si>
  <si>
    <t xml:space="preserve">Bota de Oro (máximo goleador):</t>
  </si>
  <si>
    <t xml:space="preserve">Kylian Mbappé</t>
  </si>
  <si>
    <t xml:space="preserve">Último lugar del torneo:</t>
  </si>
  <si>
    <t xml:space="preserve">DATOS DEL PARTICIPANTE (dejar en blanco)</t>
  </si>
  <si>
    <t xml:space="preserve">Nombre:</t>
  </si>
  <si>
    <t xml:space="preserve">Email:</t>
  </si>
  <si>
    <t xml:space="preserve">Teléfono: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</si>
</sst>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5"/>
    <col collapsed="false" customWidth="true" hidden="false" outlineLevel="0" max="6" min="6" style="0" width="20"/>
    <col collapsed="false" customWidth="true" hidden="false" outlineLevel="0" max="8" min="8" style="0" width="20"/>
    <col collapsed="false" customWidth="true" hidden="false" outlineLevel="0" max="12" min="9" style="0" width="5"/>
    <col collapsed="false" customWidth="true" hidden="false" outlineLevel="0" max="13" min="13" style="0" width="6"/>
    <col collapsed="false" customWidth="true" hidden="false" outlineLevel="0" max="14" min="14" style="0" width="13"/>
    <col collapsed="false" customWidth="true" hidden="false" outlineLevel="0" max="15" min="15" style="0" width="5"/>
    <col collapsed="false" customWidth="true" hidden="false" outlineLevel="0" max="17" min="17" style="0" width="4"/>
    <col collapsed="false" customWidth="true" hidden="false" outlineLevel="0" max="18" min="1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customFormat="false" ht="15" hidden="false" customHeight="false" outlineLevel="0" collapsed="false">
      <c r="A6" s="0" t="n">
        <v>1</v>
      </c>
      <c r="B6" s="0" t="s">
        <v>17</v>
      </c>
      <c r="C6" s="0" t="s">
        <v>18</v>
      </c>
      <c r="D6" s="4" t="n">
        <v>2</v>
      </c>
      <c r="E6" s="4" t="n">
        <v>0</v>
      </c>
      <c r="F6" s="5" t="s">
        <v>19</v>
      </c>
      <c r="H6" s="5" t="s">
        <v>18</v>
      </c>
      <c r="I6" s="5" t="n">
        <f aca="false">SUMPRODUCT(($C$6:$C$11=$H6)*($D$6:$D$11&lt;&gt;"")*($E$6:$E$11&lt;&gt;""))+SUMPRODUCT(($F$6:$F$11=$H6)*($D$6:$D$11&lt;&gt;"")*($E$6:$E$11&lt;&gt;""))</f>
        <v>3</v>
      </c>
      <c r="J6" s="5" t="n">
        <f aca="false">SUMPRODUCT(($C$6:$C$11=$H6)*($D$6:$D$11&lt;&gt;"")*($E$6:$E$11&lt;&gt;"")*($D$6:$D$11&gt;$E$6:$E$11))*3+SUMPRODUCT(($F$6:$F$11=$H6)*($D$6:$D$11&lt;&gt;"")*($E$6:$E$11&lt;&gt;"")*($E$6:$E$11&gt;$D$6:$D$11))*3+SUMPRODUCT((($C$6:$C$11=$H6)+($F$6:$F$11=$H6))*($D$6:$D$11&lt;&gt;"")*($E$6:$E$11&lt;&gt;"")*($D$6:$D$11=$E$6:$E$11))</f>
        <v>9</v>
      </c>
      <c r="K6" s="5" t="n">
        <f aca="false">SUMPRODUCT(($C$6:$C$11=$H6)*($D$6:$D$11&lt;&gt;"")*($E$6:$E$11&lt;&gt;"")*$D$6:$D$11)+SUMPRODUCT(($F$6:$F$11=$H6)*($D$6:$D$11&lt;&gt;"")*($E$6:$E$11&lt;&gt;"")*$E$6:$E$11)</f>
        <v>5</v>
      </c>
      <c r="L6" s="5" t="n">
        <f aca="false">SUMPRODUCT(($C$6:$C$11=$H6)*($D$6:$D$11&lt;&gt;"")*($E$6:$E$11&lt;&gt;"")*$E$6:$E$11)+SUMPRODUCT(($F$6:$F$11=$H6)*($D$6:$D$11&lt;&gt;"")*($E$6:$E$11&lt;&gt;"")*$D$6:$D$11)</f>
        <v>0</v>
      </c>
      <c r="M6" s="5" t="n">
        <f aca="false">K6-L6</f>
        <v>5</v>
      </c>
      <c r="N6" s="5" t="n">
        <f aca="false">J6*10000000+(M6+100)*10000+K6*10+(3-COUNTIF($H$6:$H$11,"&lt;"&amp;H6))</f>
        <v>91050051</v>
      </c>
      <c r="O6" s="5" t="n">
        <f aca="false">RANK(N6,$N$6:$N$11)</f>
        <v>1</v>
      </c>
      <c r="Q6" s="5" t="s">
        <v>20</v>
      </c>
      <c r="R6" s="0" t="str">
        <f aca="false">INDEX($H$6:$H$11,MATCH(1,$O$6:$O$11,0))</f>
        <v>México</v>
      </c>
    </row>
    <row r="7" customFormat="false" ht="15" hidden="false" customHeight="false" outlineLevel="0" collapsed="false">
      <c r="A7" s="0" t="n">
        <v>2</v>
      </c>
      <c r="B7" s="0" t="s">
        <v>17</v>
      </c>
      <c r="C7" s="0" t="s">
        <v>21</v>
      </c>
      <c r="D7" s="4" t="n">
        <v>1</v>
      </c>
      <c r="E7" s="4" t="n">
        <v>1</v>
      </c>
      <c r="F7" s="5" t="s">
        <v>22</v>
      </c>
      <c r="H7" s="5" t="s">
        <v>19</v>
      </c>
      <c r="I7" s="5" t="n">
        <f aca="false">SUMPRODUCT(($C$6:$C$11=$H7)*($D$6:$D$11&lt;&gt;"")*($E$6:$E$11&lt;&gt;""))+SUMPRODUCT(($F$6:$F$11=$H7)*($D$6:$D$11&lt;&gt;"")*($E$6:$E$11&lt;&gt;""))</f>
        <v>3</v>
      </c>
      <c r="J7" s="5" t="n">
        <f aca="false">SUMPRODUCT(($C$6:$C$11=$H7)*($D$6:$D$11&lt;&gt;"")*($E$6:$E$11&lt;&gt;"")*($D$6:$D$11&gt;$E$6:$E$11))*3+SUMPRODUCT(($F$6:$F$11=$H7)*($D$6:$D$11&lt;&gt;"")*($E$6:$E$11&lt;&gt;"")*($E$6:$E$11&gt;$D$6:$D$11))*3+SUMPRODUCT((($C$6:$C$11=$H7)+($F$6:$F$11=$H7))*($D$6:$D$11&lt;&gt;"")*($E$6:$E$11&lt;&gt;"")*($D$6:$D$11=$E$6:$E$11))</f>
        <v>1</v>
      </c>
      <c r="K7" s="5" t="n">
        <f aca="false">SUMPRODUCT(($C$6:$C$11=$H7)*($D$6:$D$11&lt;&gt;"")*($E$6:$E$11&lt;&gt;"")*$D$6:$D$11)+SUMPRODUCT(($F$6:$F$11=$H7)*($D$6:$D$11&lt;&gt;"")*($E$6:$E$11&lt;&gt;"")*$E$6:$E$11)</f>
        <v>1</v>
      </c>
      <c r="L7" s="5" t="n">
        <f aca="false">SUMPRODUCT(($C$6:$C$11=$H7)*($D$6:$D$11&lt;&gt;"")*($E$6:$E$11&lt;&gt;"")*$E$6:$E$11)+SUMPRODUCT(($F$6:$F$11=$H7)*($D$6:$D$11&lt;&gt;"")*($E$6:$E$11&lt;&gt;"")*$D$6:$D$11)</f>
        <v>4</v>
      </c>
      <c r="M7" s="5" t="n">
        <f aca="false">K7-L7</f>
        <v>-3</v>
      </c>
      <c r="N7" s="5" t="n">
        <f aca="false">J7*10000000+(M7+100)*10000+K7*10+(3-COUNTIF($H$6:$H$11,"&lt;"&amp;H7))</f>
        <v>10970010</v>
      </c>
      <c r="O7" s="5" t="n">
        <f aca="false">RANK(N7,$N$6:$N$11)</f>
        <v>4</v>
      </c>
      <c r="Q7" s="5" t="s">
        <v>23</v>
      </c>
      <c r="R7" s="0" t="str">
        <f aca="false">INDEX($H$6:$H$11,MATCH(2,$O$6:$O$11,0))</f>
        <v>Corea del Sur</v>
      </c>
    </row>
    <row r="8" customFormat="false" ht="15" hidden="false" customHeight="false" outlineLevel="0" collapsed="false">
      <c r="A8" s="0" t="n">
        <v>25</v>
      </c>
      <c r="B8" s="0" t="s">
        <v>24</v>
      </c>
      <c r="C8" s="0" t="s">
        <v>22</v>
      </c>
      <c r="D8" s="4" t="n">
        <v>1</v>
      </c>
      <c r="E8" s="4" t="n">
        <v>1</v>
      </c>
      <c r="F8" s="5" t="s">
        <v>19</v>
      </c>
      <c r="H8" s="5" t="s">
        <v>21</v>
      </c>
      <c r="I8" s="5" t="n">
        <f aca="false">SUMPRODUCT(($C$6:$C$11=$H8)*($D$6:$D$11&lt;&gt;"")*($E$6:$E$11&lt;&gt;""))+SUMPRODUCT(($F$6:$F$11=$H8)*($D$6:$D$11&lt;&gt;"")*($E$6:$E$11&lt;&gt;""))</f>
        <v>3</v>
      </c>
      <c r="J8" s="5" t="n">
        <f aca="false">SUMPRODUCT(($C$6:$C$11=$H8)*($D$6:$D$11&lt;&gt;"")*($E$6:$E$11&lt;&gt;"")*($D$6:$D$11&gt;$E$6:$E$11))*3+SUMPRODUCT(($F$6:$F$11=$H8)*($D$6:$D$11&lt;&gt;"")*($E$6:$E$11&lt;&gt;"")*($E$6:$E$11&gt;$D$6:$D$11))*3+SUMPRODUCT((($C$6:$C$11=$H8)+($F$6:$F$11=$H8))*($D$6:$D$11&lt;&gt;"")*($E$6:$E$11&lt;&gt;"")*($D$6:$D$11=$E$6:$E$11))</f>
        <v>4</v>
      </c>
      <c r="K8" s="5" t="n">
        <f aca="false">SUMPRODUCT(($C$6:$C$11=$H8)*($D$6:$D$11&lt;&gt;"")*($E$6:$E$11&lt;&gt;"")*$D$6:$D$11)+SUMPRODUCT(($F$6:$F$11=$H8)*($D$6:$D$11&lt;&gt;"")*($E$6:$E$11&lt;&gt;"")*$E$6:$E$11)</f>
        <v>2</v>
      </c>
      <c r="L8" s="5" t="n">
        <f aca="false">SUMPRODUCT(($C$6:$C$11=$H8)*($D$6:$D$11&lt;&gt;"")*($E$6:$E$11&lt;&gt;"")*$E$6:$E$11)+SUMPRODUCT(($F$6:$F$11=$H8)*($D$6:$D$11&lt;&gt;"")*($E$6:$E$11&lt;&gt;"")*$D$6:$D$11)</f>
        <v>2</v>
      </c>
      <c r="M8" s="5" t="n">
        <f aca="false">K8-L8</f>
        <v>0</v>
      </c>
      <c r="N8" s="5" t="n">
        <f aca="false">J8*10000000+(M8+100)*10000+K8*10+(3-COUNTIF($H$6:$H$11,"&lt;"&amp;H8))</f>
        <v>41000022</v>
      </c>
      <c r="O8" s="5" t="n">
        <f aca="false">RANK(N8,$N$6:$N$11)</f>
        <v>2</v>
      </c>
      <c r="Q8" s="5" t="s">
        <v>25</v>
      </c>
      <c r="R8" s="0" t="str">
        <f aca="false">INDEX($H$6:$H$11,MATCH(3,$O$6:$O$11,0))</f>
        <v>Chequia</v>
      </c>
    </row>
    <row r="9" customFormat="false" ht="15" hidden="false" customHeight="false" outlineLevel="0" collapsed="false">
      <c r="A9" s="0" t="n">
        <v>26</v>
      </c>
      <c r="B9" s="0" t="s">
        <v>24</v>
      </c>
      <c r="C9" s="0" t="s">
        <v>18</v>
      </c>
      <c r="D9" s="4" t="n">
        <v>1</v>
      </c>
      <c r="E9" s="4" t="n">
        <v>0</v>
      </c>
      <c r="F9" s="5" t="s">
        <v>21</v>
      </c>
      <c r="H9" s="5" t="s">
        <v>22</v>
      </c>
      <c r="I9" s="5" t="n">
        <f aca="false">SUMPRODUCT(($C$6:$C$11=$H9)*($D$6:$D$11&lt;&gt;"")*($E$6:$E$11&lt;&gt;""))+SUMPRODUCT(($F$6:$F$11=$H9)*($D$6:$D$11&lt;&gt;"")*($E$6:$E$11&lt;&gt;""))</f>
        <v>3</v>
      </c>
      <c r="J9" s="5" t="n">
        <f aca="false">SUMPRODUCT(($C$6:$C$11=$H9)*($D$6:$D$11&lt;&gt;"")*($E$6:$E$11&lt;&gt;"")*($D$6:$D$11&gt;$E$6:$E$11))*3+SUMPRODUCT(($F$6:$F$11=$H9)*($D$6:$D$11&lt;&gt;"")*($E$6:$E$11&lt;&gt;"")*($E$6:$E$11&gt;$D$6:$D$11))*3+SUMPRODUCT((($C$6:$C$11=$H9)+($F$6:$F$11=$H9))*($D$6:$D$11&lt;&gt;"")*($E$6:$E$11&lt;&gt;"")*($D$6:$D$11=$E$6:$E$11))</f>
        <v>2</v>
      </c>
      <c r="K9" s="5" t="n">
        <f aca="false">SUMPRODUCT(($C$6:$C$11=$H9)*($D$6:$D$11&lt;&gt;"")*($E$6:$E$11&lt;&gt;"")*$D$6:$D$11)+SUMPRODUCT(($F$6:$F$11=$H9)*($D$6:$D$11&lt;&gt;"")*($E$6:$E$11&lt;&gt;"")*$E$6:$E$11)</f>
        <v>2</v>
      </c>
      <c r="L9" s="5" t="n">
        <f aca="false">SUMPRODUCT(($C$6:$C$11=$H9)*($D$6:$D$11&lt;&gt;"")*($E$6:$E$11&lt;&gt;"")*$E$6:$E$11)+SUMPRODUCT(($F$6:$F$11=$H9)*($D$6:$D$11&lt;&gt;"")*($E$6:$E$11&lt;&gt;"")*$D$6:$D$11)</f>
        <v>4</v>
      </c>
      <c r="M9" s="5" t="n">
        <f aca="false">K9-L9</f>
        <v>-2</v>
      </c>
      <c r="N9" s="5" t="n">
        <f aca="false">J9*10000000+(M9+100)*10000+K9*10+(3-COUNTIF($H$6:$H$11,"&lt;"&amp;H9))</f>
        <v>20980023</v>
      </c>
      <c r="O9" s="5" t="n">
        <f aca="false">RANK(N9,$N$6:$N$11)</f>
        <v>3</v>
      </c>
    </row>
    <row r="10" customFormat="false" ht="15" hidden="false" customHeight="false" outlineLevel="0" collapsed="false">
      <c r="A10" s="0" t="n">
        <v>49</v>
      </c>
      <c r="B10" s="0" t="s">
        <v>26</v>
      </c>
      <c r="C10" s="0" t="s">
        <v>22</v>
      </c>
      <c r="D10" s="4" t="n">
        <v>0</v>
      </c>
      <c r="E10" s="4" t="n">
        <v>2</v>
      </c>
      <c r="F10" s="5" t="s">
        <v>18</v>
      </c>
    </row>
    <row r="11" customFormat="false" ht="15" hidden="false" customHeight="false" outlineLevel="0" collapsed="false">
      <c r="A11" s="0" t="n">
        <v>50</v>
      </c>
      <c r="B11" s="0" t="s">
        <v>26</v>
      </c>
      <c r="C11" s="0" t="s">
        <v>19</v>
      </c>
      <c r="D11" s="4" t="n">
        <v>0</v>
      </c>
      <c r="E11" s="4" t="n">
        <v>1</v>
      </c>
      <c r="F11" s="5" t="s">
        <v>21</v>
      </c>
    </row>
    <row r="13" customFormat="false" ht="15" hidden="false" customHeight="false" outlineLevel="0" collapsed="false">
      <c r="A13" s="2" t="s">
        <v>27</v>
      </c>
    </row>
    <row r="14" customFormat="false" ht="15" hidden="false" customHeight="false" outlineLevel="0" collapsed="false">
      <c r="A14" s="3" t="s">
        <v>3</v>
      </c>
      <c r="B14" s="3" t="s">
        <v>4</v>
      </c>
      <c r="C14" s="3" t="s">
        <v>5</v>
      </c>
      <c r="D14" s="3" t="s">
        <v>6</v>
      </c>
      <c r="E14" s="3" t="s">
        <v>7</v>
      </c>
      <c r="F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customFormat="false" ht="15" hidden="false" customHeight="false" outlineLevel="0" collapsed="false">
      <c r="A15" s="0" t="n">
        <v>3</v>
      </c>
      <c r="B15" s="0" t="s">
        <v>28</v>
      </c>
      <c r="C15" s="0" t="s">
        <v>29</v>
      </c>
      <c r="D15" s="4" t="n">
        <v>1</v>
      </c>
      <c r="E15" s="4" t="n">
        <v>0</v>
      </c>
      <c r="F15" s="5" t="s">
        <v>30</v>
      </c>
      <c r="H15" s="5" t="s">
        <v>29</v>
      </c>
      <c r="I15" s="5" t="n">
        <f aca="false">SUMPRODUCT(($C$15:$C$20=$H15)*($D$15:$D$20&lt;&gt;"")*($E$15:$E$20&lt;&gt;""))+SUMPRODUCT(($F$15:$F$20=$H15)*($D$15:$D$20&lt;&gt;"")*($E$15:$E$20&lt;&gt;""))</f>
        <v>3</v>
      </c>
      <c r="J15" s="5" t="n">
        <f aca="false">SUMPRODUCT(($C$15:$C$20=$H15)*($D$15:$D$20&lt;&gt;"")*($E$15:$E$20&lt;&gt;"")*($D$15:$D$20&gt;$E$15:$E$20))*3+SUMPRODUCT(($F$15:$F$20=$H15)*($D$15:$D$20&lt;&gt;"")*($E$15:$E$20&lt;&gt;"")*($E$15:$E$20&gt;$D$15:$D$20))*3+SUMPRODUCT((($C$15:$C$20=$H15)+($F$15:$F$20=$H15))*($D$15:$D$20&lt;&gt;"")*($E$15:$E$20&lt;&gt;"")*($D$15:$D$20=$E$15:$E$20))</f>
        <v>7</v>
      </c>
      <c r="K15" s="5" t="n">
        <f aca="false">SUMPRODUCT(($C$15:$C$20=$H15)*($D$15:$D$20&lt;&gt;"")*($E$15:$E$20&lt;&gt;"")*$D$15:$D$20)+SUMPRODUCT(($F$15:$F$20=$H15)*($D$15:$D$20&lt;&gt;"")*($E$15:$E$20&lt;&gt;"")*$E$15:$E$20)</f>
        <v>3</v>
      </c>
      <c r="L15" s="5" t="n">
        <f aca="false">SUMPRODUCT(($C$15:$C$20=$H15)*($D$15:$D$20&lt;&gt;"")*($E$15:$E$20&lt;&gt;"")*$E$15:$E$20)+SUMPRODUCT(($F$15:$F$20=$H15)*($D$15:$D$20&lt;&gt;"")*($E$15:$E$20&lt;&gt;"")*$D$15:$D$20)</f>
        <v>1</v>
      </c>
      <c r="M15" s="5" t="n">
        <f aca="false">K15-L15</f>
        <v>2</v>
      </c>
      <c r="N15" s="5" t="n">
        <f aca="false">J15*10000000+(M15+100)*10000+K15*10+(3-COUNTIF($H$15:$H$20,"&lt;"&amp;H15))</f>
        <v>71020032</v>
      </c>
      <c r="O15" s="5" t="n">
        <f aca="false">RANK(N15,$N$15:$N$20)</f>
        <v>1</v>
      </c>
      <c r="Q15" s="5" t="s">
        <v>20</v>
      </c>
      <c r="R15" s="0" t="str">
        <f aca="false">INDEX($H$15:$H$20,MATCH(1,$O$15:$O$20,0))</f>
        <v>Canadá</v>
      </c>
    </row>
    <row r="16" customFormat="false" ht="15" hidden="false" customHeight="false" outlineLevel="0" collapsed="false">
      <c r="A16" s="0" t="n">
        <v>5</v>
      </c>
      <c r="B16" s="0" t="s">
        <v>31</v>
      </c>
      <c r="C16" s="0" t="s">
        <v>32</v>
      </c>
      <c r="D16" s="4" t="n">
        <v>0</v>
      </c>
      <c r="E16" s="4" t="n">
        <v>1</v>
      </c>
      <c r="F16" s="5" t="s">
        <v>33</v>
      </c>
      <c r="H16" s="5" t="s">
        <v>30</v>
      </c>
      <c r="I16" s="5" t="n">
        <f aca="false">SUMPRODUCT(($C$15:$C$20=$H16)*($D$15:$D$20&lt;&gt;"")*($E$15:$E$20&lt;&gt;""))+SUMPRODUCT(($F$15:$F$20=$H16)*($D$15:$D$20&lt;&gt;"")*($E$15:$E$20&lt;&gt;""))</f>
        <v>3</v>
      </c>
      <c r="J16" s="5" t="n">
        <f aca="false">SUMPRODUCT(($C$15:$C$20=$H16)*($D$15:$D$20&lt;&gt;"")*($E$15:$E$20&lt;&gt;"")*($D$15:$D$20&gt;$E$15:$E$20))*3+SUMPRODUCT(($F$15:$F$20=$H16)*($D$15:$D$20&lt;&gt;"")*($E$15:$E$20&lt;&gt;"")*($E$15:$E$20&gt;$D$15:$D$20))*3+SUMPRODUCT((($C$15:$C$20=$H16)+($F$15:$F$20=$H16))*($D$15:$D$20&lt;&gt;"")*($E$15:$E$20&lt;&gt;"")*($D$15:$D$20=$E$15:$E$20))</f>
        <v>1</v>
      </c>
      <c r="K16" s="5" t="n">
        <f aca="false">SUMPRODUCT(($C$15:$C$20=$H16)*($D$15:$D$20&lt;&gt;"")*($E$15:$E$20&lt;&gt;"")*$D$15:$D$20)+SUMPRODUCT(($F$15:$F$20=$H16)*($D$15:$D$20&lt;&gt;"")*($E$15:$E$20&lt;&gt;"")*$E$15:$E$20)</f>
        <v>1</v>
      </c>
      <c r="L16" s="5" t="n">
        <f aca="false">SUMPRODUCT(($C$15:$C$20=$H16)*($D$15:$D$20&lt;&gt;"")*($E$15:$E$20&lt;&gt;"")*$E$15:$E$20)+SUMPRODUCT(($F$15:$F$20=$H16)*($D$15:$D$20&lt;&gt;"")*($E$15:$E$20&lt;&gt;"")*$D$15:$D$20)</f>
        <v>3</v>
      </c>
      <c r="M16" s="5" t="n">
        <f aca="false">K16-L16</f>
        <v>-2</v>
      </c>
      <c r="N16" s="5" t="n">
        <f aca="false">J16*10000000+(M16+100)*10000+K16*10+(3-COUNTIF($H$15:$H$20,"&lt;"&amp;H16))</f>
        <v>10980013</v>
      </c>
      <c r="O16" s="5" t="n">
        <f aca="false">RANK(N16,$N$15:$N$20)</f>
        <v>3</v>
      </c>
      <c r="Q16" s="5" t="s">
        <v>23</v>
      </c>
      <c r="R16" s="0" t="str">
        <f aca="false">INDEX($H$15:$H$20,MATCH(2,$O$15:$O$20,0))</f>
        <v>Suiza</v>
      </c>
    </row>
    <row r="17" customFormat="false" ht="15" hidden="false" customHeight="false" outlineLevel="0" collapsed="false">
      <c r="A17" s="0" t="n">
        <v>27</v>
      </c>
      <c r="B17" s="0" t="s">
        <v>24</v>
      </c>
      <c r="C17" s="0" t="s">
        <v>33</v>
      </c>
      <c r="D17" s="4" t="n">
        <v>1</v>
      </c>
      <c r="E17" s="4" t="n">
        <v>0</v>
      </c>
      <c r="F17" s="5" t="s">
        <v>30</v>
      </c>
      <c r="H17" s="5" t="s">
        <v>32</v>
      </c>
      <c r="I17" s="5" t="n">
        <f aca="false">SUMPRODUCT(($C$15:$C$20=$H17)*($D$15:$D$20&lt;&gt;"")*($E$15:$E$20&lt;&gt;""))+SUMPRODUCT(($F$15:$F$20=$H17)*($D$15:$D$20&lt;&gt;"")*($E$15:$E$20&lt;&gt;""))</f>
        <v>3</v>
      </c>
      <c r="J17" s="5" t="n">
        <f aca="false">SUMPRODUCT(($C$15:$C$20=$H17)*($D$15:$D$20&lt;&gt;"")*($E$15:$E$20&lt;&gt;"")*($D$15:$D$20&gt;$E$15:$E$20))*3+SUMPRODUCT(($F$15:$F$20=$H17)*($D$15:$D$20&lt;&gt;"")*($E$15:$E$20&lt;&gt;"")*($E$15:$E$20&gt;$D$15:$D$20))*3+SUMPRODUCT((($C$15:$C$20=$H17)+($F$15:$F$20=$H17))*($D$15:$D$20&lt;&gt;"")*($E$15:$E$20&lt;&gt;"")*($D$15:$D$20=$E$15:$E$20))</f>
        <v>1</v>
      </c>
      <c r="K17" s="5" t="n">
        <f aca="false">SUMPRODUCT(($C$15:$C$20=$H17)*($D$15:$D$20&lt;&gt;"")*($E$15:$E$20&lt;&gt;"")*$D$15:$D$20)+SUMPRODUCT(($F$15:$F$20=$H17)*($D$15:$D$20&lt;&gt;"")*($E$15:$E$20&lt;&gt;"")*$E$15:$E$20)</f>
        <v>1</v>
      </c>
      <c r="L17" s="5" t="n">
        <f aca="false">SUMPRODUCT(($C$15:$C$20=$H17)*($D$15:$D$20&lt;&gt;"")*($E$15:$E$20&lt;&gt;"")*$E$15:$E$20)+SUMPRODUCT(($F$15:$F$20=$H17)*($D$15:$D$20&lt;&gt;"")*($E$15:$E$20&lt;&gt;"")*$D$15:$D$20)</f>
        <v>3</v>
      </c>
      <c r="M17" s="5" t="n">
        <f aca="false">K17-L17</f>
        <v>-2</v>
      </c>
      <c r="N17" s="5" t="n">
        <f aca="false">J17*10000000+(M17+100)*10000+K17*10+(3-COUNTIF($H$15:$H$20,"&lt;"&amp;H17))</f>
        <v>10980011</v>
      </c>
      <c r="O17" s="5" t="n">
        <f aca="false">RANK(N17,$N$15:$N$20)</f>
        <v>4</v>
      </c>
      <c r="Q17" s="5" t="s">
        <v>25</v>
      </c>
      <c r="R17" s="0" t="str">
        <f aca="false">INDEX($H$15:$H$20,MATCH(3,$O$15:$O$20,0))</f>
        <v>Bosnia y Herzegovina</v>
      </c>
    </row>
    <row r="18" customFormat="false" ht="15" hidden="false" customHeight="false" outlineLevel="0" collapsed="false">
      <c r="A18" s="0" t="n">
        <v>28</v>
      </c>
      <c r="B18" s="0" t="s">
        <v>24</v>
      </c>
      <c r="C18" s="0" t="s">
        <v>29</v>
      </c>
      <c r="D18" s="4" t="n">
        <v>1</v>
      </c>
      <c r="E18" s="4" t="n">
        <v>0</v>
      </c>
      <c r="F18" s="5" t="s">
        <v>32</v>
      </c>
      <c r="H18" s="5" t="s">
        <v>33</v>
      </c>
      <c r="I18" s="5" t="n">
        <f aca="false">SUMPRODUCT(($C$15:$C$20=$H18)*($D$15:$D$20&lt;&gt;"")*($E$15:$E$20&lt;&gt;""))+SUMPRODUCT(($F$15:$F$20=$H18)*($D$15:$D$20&lt;&gt;"")*($E$15:$E$20&lt;&gt;""))</f>
        <v>3</v>
      </c>
      <c r="J18" s="5" t="n">
        <f aca="false">SUMPRODUCT(($C$15:$C$20=$H18)*($D$15:$D$20&lt;&gt;"")*($E$15:$E$20&lt;&gt;"")*($D$15:$D$20&gt;$E$15:$E$20))*3+SUMPRODUCT(($F$15:$F$20=$H18)*($D$15:$D$20&lt;&gt;"")*($E$15:$E$20&lt;&gt;"")*($E$15:$E$20&gt;$D$15:$D$20))*3+SUMPRODUCT((($C$15:$C$20=$H18)+($F$15:$F$20=$H18))*($D$15:$D$20&lt;&gt;"")*($E$15:$E$20&lt;&gt;"")*($D$15:$D$20=$E$15:$E$20))</f>
        <v>7</v>
      </c>
      <c r="K18" s="5" t="n">
        <f aca="false">SUMPRODUCT(($C$15:$C$20=$H18)*($D$15:$D$20&lt;&gt;"")*($E$15:$E$20&lt;&gt;"")*$D$15:$D$20)+SUMPRODUCT(($F$15:$F$20=$H18)*($D$15:$D$20&lt;&gt;"")*($E$15:$E$20&lt;&gt;"")*$E$15:$E$20)</f>
        <v>3</v>
      </c>
      <c r="L18" s="5" t="n">
        <f aca="false">SUMPRODUCT(($C$15:$C$20=$H18)*($D$15:$D$20&lt;&gt;"")*($E$15:$E$20&lt;&gt;"")*$E$15:$E$20)+SUMPRODUCT(($F$15:$F$20=$H18)*($D$15:$D$20&lt;&gt;"")*($E$15:$E$20&lt;&gt;"")*$D$15:$D$20)</f>
        <v>1</v>
      </c>
      <c r="M18" s="5" t="n">
        <f aca="false">K18-L18</f>
        <v>2</v>
      </c>
      <c r="N18" s="5" t="n">
        <f aca="false">J18*10000000+(M18+100)*10000+K18*10+(3-COUNTIF($H$15:$H$20,"&lt;"&amp;H18))</f>
        <v>71020030</v>
      </c>
      <c r="O18" s="5" t="n">
        <f aca="false">RANK(N18,$N$15:$N$20)</f>
        <v>2</v>
      </c>
    </row>
    <row r="19" customFormat="false" ht="15" hidden="false" customHeight="false" outlineLevel="0" collapsed="false">
      <c r="A19" s="0" t="n">
        <v>51</v>
      </c>
      <c r="B19" s="0" t="s">
        <v>26</v>
      </c>
      <c r="C19" s="0" t="s">
        <v>33</v>
      </c>
      <c r="D19" s="4" t="n">
        <v>1</v>
      </c>
      <c r="E19" s="4" t="n">
        <v>1</v>
      </c>
      <c r="F19" s="5" t="s">
        <v>29</v>
      </c>
    </row>
    <row r="20" customFormat="false" ht="15" hidden="false" customHeight="false" outlineLevel="0" collapsed="false">
      <c r="A20" s="0" t="n">
        <v>52</v>
      </c>
      <c r="B20" s="0" t="s">
        <v>26</v>
      </c>
      <c r="C20" s="0" t="s">
        <v>30</v>
      </c>
      <c r="D20" s="4" t="n">
        <v>1</v>
      </c>
      <c r="E20" s="4" t="n">
        <v>1</v>
      </c>
      <c r="F20" s="5" t="s">
        <v>32</v>
      </c>
    </row>
    <row r="22" customFormat="false" ht="1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3" t="s">
        <v>3</v>
      </c>
      <c r="B23" s="3" t="s">
        <v>4</v>
      </c>
      <c r="C23" s="3" t="s">
        <v>5</v>
      </c>
      <c r="D23" s="3" t="s">
        <v>6</v>
      </c>
      <c r="E23" s="3" t="s">
        <v>7</v>
      </c>
      <c r="F23" s="3" t="s">
        <v>8</v>
      </c>
      <c r="H23" s="3" t="s">
        <v>9</v>
      </c>
      <c r="I23" s="3" t="s">
        <v>10</v>
      </c>
      <c r="J23" s="3" t="s">
        <v>11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customFormat="false" ht="15" hidden="false" customHeight="false" outlineLevel="0" collapsed="false">
      <c r="A24" s="0" t="n">
        <v>7</v>
      </c>
      <c r="B24" s="0" t="s">
        <v>31</v>
      </c>
      <c r="C24" s="0" t="s">
        <v>35</v>
      </c>
      <c r="D24" s="4" t="n">
        <v>1</v>
      </c>
      <c r="E24" s="4" t="n">
        <v>0</v>
      </c>
      <c r="F24" s="5" t="s">
        <v>36</v>
      </c>
      <c r="H24" s="5" t="s">
        <v>35</v>
      </c>
      <c r="I24" s="5" t="n">
        <f aca="false">SUMPRODUCT(($C$24:$C$29=$H24)*($D$24:$D$29&lt;&gt;"")*($E$24:$E$29&lt;&gt;""))+SUMPRODUCT(($F$24:$F$29=$H24)*($D$24:$D$29&lt;&gt;"")*($E$24:$E$29&lt;&gt;""))</f>
        <v>3</v>
      </c>
      <c r="J24" s="5" t="n">
        <f aca="false">SUMPRODUCT(($C$24:$C$29=$H24)*($D$24:$D$29&lt;&gt;"")*($E$24:$E$29&lt;&gt;"")*($D$24:$D$29&gt;$E$24:$E$29))*3+SUMPRODUCT(($F$24:$F$29=$H24)*($D$24:$D$29&lt;&gt;"")*($E$24:$E$29&lt;&gt;"")*($E$24:$E$29&gt;$D$24:$D$29))*3+SUMPRODUCT((($C$24:$C$29=$H24)+($F$24:$F$29=$H24))*($D$24:$D$29&lt;&gt;"")*($E$24:$E$29&lt;&gt;"")*($D$24:$D$29=$E$24:$E$29))</f>
        <v>9</v>
      </c>
      <c r="K24" s="5" t="n">
        <f aca="false">SUMPRODUCT(($C$24:$C$29=$H24)*($D$24:$D$29&lt;&gt;"")*($E$24:$E$29&lt;&gt;"")*$D$24:$D$29)+SUMPRODUCT(($F$24:$F$29=$H24)*($D$24:$D$29&lt;&gt;"")*($E$24:$E$29&lt;&gt;"")*$E$24:$E$29)</f>
        <v>5</v>
      </c>
      <c r="L24" s="5" t="n">
        <f aca="false">SUMPRODUCT(($C$24:$C$29=$H24)*($D$24:$D$29&lt;&gt;"")*($E$24:$E$29&lt;&gt;"")*$E$24:$E$29)+SUMPRODUCT(($F$24:$F$29=$H24)*($D$24:$D$29&lt;&gt;"")*($E$24:$E$29&lt;&gt;"")*$D$24:$D$29)</f>
        <v>0</v>
      </c>
      <c r="M24" s="5" t="n">
        <f aca="false">K24-L24</f>
        <v>5</v>
      </c>
      <c r="N24" s="5" t="n">
        <f aca="false">J24*10000000+(M24+100)*10000+K24*10+(3-COUNTIF($H$24:$H$29,"&lt;"&amp;H24))</f>
        <v>91050053</v>
      </c>
      <c r="O24" s="5" t="n">
        <f aca="false">RANK(N24,$N$24:$N$29)</f>
        <v>1</v>
      </c>
      <c r="Q24" s="5" t="s">
        <v>20</v>
      </c>
      <c r="R24" s="0" t="str">
        <f aca="false">INDEX($H$24:$H$29,MATCH(1,$O$24:$O$29,0))</f>
        <v>Brasil</v>
      </c>
    </row>
    <row r="25" customFormat="false" ht="15" hidden="false" customHeight="false" outlineLevel="0" collapsed="false">
      <c r="A25" s="0" t="n">
        <v>8</v>
      </c>
      <c r="B25" s="0" t="s">
        <v>31</v>
      </c>
      <c r="C25" s="0" t="s">
        <v>37</v>
      </c>
      <c r="D25" s="4" t="n">
        <v>0</v>
      </c>
      <c r="E25" s="4" t="n">
        <v>1</v>
      </c>
      <c r="F25" s="5" t="s">
        <v>38</v>
      </c>
      <c r="H25" s="5" t="s">
        <v>36</v>
      </c>
      <c r="I25" s="5" t="n">
        <f aca="false">SUMPRODUCT(($C$24:$C$29=$H25)*($D$24:$D$29&lt;&gt;"")*($E$24:$E$29&lt;&gt;""))+SUMPRODUCT(($F$24:$F$29=$H25)*($D$24:$D$29&lt;&gt;"")*($E$24:$E$29&lt;&gt;""))</f>
        <v>3</v>
      </c>
      <c r="J25" s="5" t="n">
        <f aca="false">SUMPRODUCT(($C$24:$C$29=$H25)*($D$24:$D$29&lt;&gt;"")*($E$24:$E$29&lt;&gt;"")*($D$24:$D$29&gt;$E$24:$E$29))*3+SUMPRODUCT(($F$24:$F$29=$H25)*($D$24:$D$29&lt;&gt;"")*($E$24:$E$29&lt;&gt;"")*($E$24:$E$29&gt;$D$24:$D$29))*3+SUMPRODUCT((($C$24:$C$29=$H25)+($F$24:$F$29=$H25))*($D$24:$D$29&lt;&gt;"")*($E$24:$E$29&lt;&gt;"")*($D$24:$D$29=$E$24:$E$29))</f>
        <v>6</v>
      </c>
      <c r="K25" s="5" t="n">
        <f aca="false">SUMPRODUCT(($C$24:$C$29=$H25)*($D$24:$D$29&lt;&gt;"")*($E$24:$E$29&lt;&gt;"")*$D$24:$D$29)+SUMPRODUCT(($F$24:$F$29=$H25)*($D$24:$D$29&lt;&gt;"")*($E$24:$E$29&lt;&gt;"")*$E$24:$E$29)</f>
        <v>3</v>
      </c>
      <c r="L25" s="5" t="n">
        <f aca="false">SUMPRODUCT(($C$24:$C$29=$H25)*($D$24:$D$29&lt;&gt;"")*($E$24:$E$29&lt;&gt;"")*$E$24:$E$29)+SUMPRODUCT(($F$24:$F$29=$H25)*($D$24:$D$29&lt;&gt;"")*($E$24:$E$29&lt;&gt;"")*$D$24:$D$29)</f>
        <v>1</v>
      </c>
      <c r="M25" s="5" t="n">
        <f aca="false">K25-L25</f>
        <v>2</v>
      </c>
      <c r="N25" s="5" t="n">
        <f aca="false">J25*10000000+(M25+100)*10000+K25*10+(3-COUNTIF($H$24:$H$29,"&lt;"&amp;H25))</f>
        <v>61020030</v>
      </c>
      <c r="O25" s="5" t="n">
        <f aca="false">RANK(N25,$N$24:$N$29)</f>
        <v>2</v>
      </c>
      <c r="Q25" s="5" t="s">
        <v>23</v>
      </c>
      <c r="R25" s="0" t="str">
        <f aca="false">INDEX($H$24:$H$29,MATCH(2,$O$24:$O$29,0))</f>
        <v>Marruecos</v>
      </c>
    </row>
    <row r="26" customFormat="false" ht="15" hidden="false" customHeight="false" outlineLevel="0" collapsed="false">
      <c r="A26" s="0" t="n">
        <v>29</v>
      </c>
      <c r="B26" s="0" t="s">
        <v>39</v>
      </c>
      <c r="C26" s="0" t="s">
        <v>38</v>
      </c>
      <c r="D26" s="4" t="n">
        <v>0</v>
      </c>
      <c r="E26" s="4" t="n">
        <v>1</v>
      </c>
      <c r="F26" s="5" t="s">
        <v>36</v>
      </c>
      <c r="H26" s="5" t="s">
        <v>37</v>
      </c>
      <c r="I26" s="5" t="n">
        <f aca="false">SUMPRODUCT(($C$24:$C$29=$H26)*($D$24:$D$29&lt;&gt;"")*($E$24:$E$29&lt;&gt;""))+SUMPRODUCT(($F$24:$F$29=$H26)*($D$24:$D$29&lt;&gt;"")*($E$24:$E$29&lt;&gt;""))</f>
        <v>3</v>
      </c>
      <c r="J26" s="5" t="n">
        <f aca="false">SUMPRODUCT(($C$24:$C$29=$H26)*($D$24:$D$29&lt;&gt;"")*($E$24:$E$29&lt;&gt;"")*($D$24:$D$29&gt;$E$24:$E$29))*3+SUMPRODUCT(($F$24:$F$29=$H26)*($D$24:$D$29&lt;&gt;"")*($E$24:$E$29&lt;&gt;"")*($E$24:$E$29&gt;$D$24:$D$29))*3+SUMPRODUCT((($C$24:$C$29=$H26)+($F$24:$F$29=$H26))*($D$24:$D$29&lt;&gt;"")*($E$24:$E$29&lt;&gt;"")*($D$24:$D$29=$E$24:$E$29))</f>
        <v>0</v>
      </c>
      <c r="K26" s="5" t="n">
        <f aca="false">SUMPRODUCT(($C$24:$C$29=$H26)*($D$24:$D$29&lt;&gt;"")*($E$24:$E$29&lt;&gt;"")*$D$24:$D$29)+SUMPRODUCT(($F$24:$F$29=$H26)*($D$24:$D$29&lt;&gt;"")*($E$24:$E$29&lt;&gt;"")*$E$24:$E$29)</f>
        <v>0</v>
      </c>
      <c r="L26" s="5" t="n">
        <f aca="false">SUMPRODUCT(($C$24:$C$29=$H26)*($D$24:$D$29&lt;&gt;"")*($E$24:$E$29&lt;&gt;"")*$E$24:$E$29)+SUMPRODUCT(($F$24:$F$29=$H26)*($D$24:$D$29&lt;&gt;"")*($E$24:$E$29&lt;&gt;"")*$D$24:$D$29)</f>
        <v>5</v>
      </c>
      <c r="M26" s="5" t="n">
        <f aca="false">K26-L26</f>
        <v>-5</v>
      </c>
      <c r="N26" s="5" t="n">
        <f aca="false">J26*10000000+(M26+100)*10000+K26*10+(3-COUNTIF($H$24:$H$29,"&lt;"&amp;H26))</f>
        <v>950001</v>
      </c>
      <c r="O26" s="5" t="n">
        <f aca="false">RANK(N26,$N$24:$N$29)</f>
        <v>4</v>
      </c>
      <c r="Q26" s="5" t="s">
        <v>25</v>
      </c>
      <c r="R26" s="0" t="str">
        <f aca="false">INDEX($H$24:$H$29,MATCH(3,$O$24:$O$29,0))</f>
        <v>Escocia</v>
      </c>
    </row>
    <row r="27" customFormat="false" ht="15" hidden="false" customHeight="false" outlineLevel="0" collapsed="false">
      <c r="A27" s="0" t="n">
        <v>30</v>
      </c>
      <c r="B27" s="0" t="s">
        <v>39</v>
      </c>
      <c r="C27" s="0" t="s">
        <v>35</v>
      </c>
      <c r="D27" s="4" t="n">
        <v>2</v>
      </c>
      <c r="E27" s="4" t="n">
        <v>0</v>
      </c>
      <c r="F27" s="5" t="s">
        <v>37</v>
      </c>
      <c r="H27" s="5" t="s">
        <v>38</v>
      </c>
      <c r="I27" s="5" t="n">
        <f aca="false">SUMPRODUCT(($C$24:$C$29=$H27)*($D$24:$D$29&lt;&gt;"")*($E$24:$E$29&lt;&gt;""))+SUMPRODUCT(($F$24:$F$29=$H27)*($D$24:$D$29&lt;&gt;"")*($E$24:$E$29&lt;&gt;""))</f>
        <v>3</v>
      </c>
      <c r="J27" s="5" t="n">
        <f aca="false">SUMPRODUCT(($C$24:$C$29=$H27)*($D$24:$D$29&lt;&gt;"")*($E$24:$E$29&lt;&gt;"")*($D$24:$D$29&gt;$E$24:$E$29))*3+SUMPRODUCT(($F$24:$F$29=$H27)*($D$24:$D$29&lt;&gt;"")*($E$24:$E$29&lt;&gt;"")*($E$24:$E$29&gt;$D$24:$D$29))*3+SUMPRODUCT((($C$24:$C$29=$H27)+($F$24:$F$29=$H27))*($D$24:$D$29&lt;&gt;"")*($E$24:$E$29&lt;&gt;"")*($D$24:$D$29=$E$24:$E$29))</f>
        <v>3</v>
      </c>
      <c r="K27" s="5" t="n">
        <f aca="false">SUMPRODUCT(($C$24:$C$29=$H27)*($D$24:$D$29&lt;&gt;"")*($E$24:$E$29&lt;&gt;"")*$D$24:$D$29)+SUMPRODUCT(($F$24:$F$29=$H27)*($D$24:$D$29&lt;&gt;"")*($E$24:$E$29&lt;&gt;"")*$E$24:$E$29)</f>
        <v>1</v>
      </c>
      <c r="L27" s="5" t="n">
        <f aca="false">SUMPRODUCT(($C$24:$C$29=$H27)*($D$24:$D$29&lt;&gt;"")*($E$24:$E$29&lt;&gt;"")*$E$24:$E$29)+SUMPRODUCT(($F$24:$F$29=$H27)*($D$24:$D$29&lt;&gt;"")*($E$24:$E$29&lt;&gt;"")*$D$24:$D$29)</f>
        <v>3</v>
      </c>
      <c r="M27" s="5" t="n">
        <f aca="false">K27-L27</f>
        <v>-2</v>
      </c>
      <c r="N27" s="5" t="n">
        <f aca="false">J27*10000000+(M27+100)*10000+K27*10+(3-COUNTIF($H$24:$H$29,"&lt;"&amp;H27))</f>
        <v>30980012</v>
      </c>
      <c r="O27" s="5" t="n">
        <f aca="false">RANK(N27,$N$24:$N$29)</f>
        <v>3</v>
      </c>
    </row>
    <row r="28" customFormat="false" ht="15" hidden="false" customHeight="false" outlineLevel="0" collapsed="false">
      <c r="A28" s="0" t="n">
        <v>53</v>
      </c>
      <c r="B28" s="0" t="s">
        <v>26</v>
      </c>
      <c r="C28" s="0" t="s">
        <v>38</v>
      </c>
      <c r="D28" s="4" t="n">
        <v>0</v>
      </c>
      <c r="E28" s="4" t="n">
        <v>2</v>
      </c>
      <c r="F28" s="5" t="s">
        <v>35</v>
      </c>
    </row>
    <row r="29" customFormat="false" ht="15" hidden="false" customHeight="false" outlineLevel="0" collapsed="false">
      <c r="A29" s="0" t="n">
        <v>54</v>
      </c>
      <c r="B29" s="0" t="s">
        <v>26</v>
      </c>
      <c r="C29" s="0" t="s">
        <v>36</v>
      </c>
      <c r="D29" s="4" t="n">
        <v>2</v>
      </c>
      <c r="E29" s="4" t="n">
        <v>0</v>
      </c>
      <c r="F29" s="5" t="s">
        <v>37</v>
      </c>
    </row>
    <row r="31" customFormat="false" ht="15" hidden="false" customHeight="false" outlineLevel="0" collapsed="false">
      <c r="A31" s="2" t="s">
        <v>40</v>
      </c>
    </row>
    <row r="32" customFormat="false" ht="15" hidden="false" customHeight="false" outlineLevel="0" collapsed="false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  <c r="F32" s="3" t="s">
        <v>8</v>
      </c>
      <c r="H32" s="3" t="s">
        <v>9</v>
      </c>
      <c r="I32" s="3" t="s">
        <v>10</v>
      </c>
      <c r="J32" s="3" t="s">
        <v>11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customFormat="false" ht="15" hidden="false" customHeight="false" outlineLevel="0" collapsed="false">
      <c r="A33" s="0" t="n">
        <v>4</v>
      </c>
      <c r="B33" s="0" t="s">
        <v>28</v>
      </c>
      <c r="C33" s="0" t="s">
        <v>41</v>
      </c>
      <c r="D33" s="4" t="n">
        <v>1</v>
      </c>
      <c r="E33" s="4" t="n">
        <v>0</v>
      </c>
      <c r="F33" s="5" t="s">
        <v>42</v>
      </c>
      <c r="H33" s="5" t="s">
        <v>41</v>
      </c>
      <c r="I33" s="5" t="n">
        <f aca="false">SUMPRODUCT(($C$33:$C$38=$H33)*($D$33:$D$38&lt;&gt;"")*($E$33:$E$38&lt;&gt;""))+SUMPRODUCT(($F$33:$F$38=$H33)*($D$33:$D$38&lt;&gt;"")*($E$33:$E$38&lt;&gt;""))</f>
        <v>3</v>
      </c>
      <c r="J33" s="5" t="n">
        <f aca="false">SUMPRODUCT(($C$33:$C$38=$H33)*($D$33:$D$38&lt;&gt;"")*($E$33:$E$38&lt;&gt;"")*($D$33:$D$38&gt;$E$33:$E$38))*3+SUMPRODUCT(($F$33:$F$38=$H33)*($D$33:$D$38&lt;&gt;"")*($E$33:$E$38&lt;&gt;"")*($E$33:$E$38&gt;$D$33:$D$38))*3+SUMPRODUCT((($C$33:$C$38=$H33)+($F$33:$F$38=$H33))*($D$33:$D$38&lt;&gt;"")*($E$33:$E$38&lt;&gt;"")*($D$33:$D$38=$E$33:$E$38))</f>
        <v>5</v>
      </c>
      <c r="K33" s="5" t="n">
        <f aca="false">SUMPRODUCT(($C$33:$C$38=$H33)*($D$33:$D$38&lt;&gt;"")*($E$33:$E$38&lt;&gt;"")*$D$33:$D$38)+SUMPRODUCT(($F$33:$F$38=$H33)*($D$33:$D$38&lt;&gt;"")*($E$33:$E$38&lt;&gt;"")*$E$33:$E$38)</f>
        <v>3</v>
      </c>
      <c r="L33" s="5" t="n">
        <f aca="false">SUMPRODUCT(($C$33:$C$38=$H33)*($D$33:$D$38&lt;&gt;"")*($E$33:$E$38&lt;&gt;"")*$E$33:$E$38)+SUMPRODUCT(($F$33:$F$38=$H33)*($D$33:$D$38&lt;&gt;"")*($E$33:$E$38&lt;&gt;"")*$D$33:$D$38)</f>
        <v>2</v>
      </c>
      <c r="M33" s="5" t="n">
        <f aca="false">K33-L33</f>
        <v>1</v>
      </c>
      <c r="N33" s="5" t="n">
        <f aca="false">J33*10000000+(M33+100)*10000+K33*10+(3-COUNTIF($H$33:$H$38,"&lt;"&amp;H33))</f>
        <v>51010032</v>
      </c>
      <c r="O33" s="5" t="n">
        <f aca="false">RANK(N33,$N$33:$N$38)</f>
        <v>1</v>
      </c>
      <c r="Q33" s="5" t="s">
        <v>20</v>
      </c>
      <c r="R33" s="0" t="str">
        <f aca="false">INDEX($H$33:$H$38,MATCH(1,$O$33:$O$38,0))</f>
        <v>Estados Unidos</v>
      </c>
    </row>
    <row r="34" customFormat="false" ht="15" hidden="false" customHeight="false" outlineLevel="0" collapsed="false">
      <c r="A34" s="0" t="n">
        <v>6</v>
      </c>
      <c r="B34" s="0" t="s">
        <v>31</v>
      </c>
      <c r="C34" s="0" t="s">
        <v>43</v>
      </c>
      <c r="D34" s="4" t="n">
        <v>1</v>
      </c>
      <c r="E34" s="4" t="n">
        <v>1</v>
      </c>
      <c r="F34" s="5" t="s">
        <v>44</v>
      </c>
      <c r="H34" s="5" t="s">
        <v>42</v>
      </c>
      <c r="I34" s="5" t="n">
        <f aca="false">SUMPRODUCT(($C$33:$C$38=$H34)*($D$33:$D$38&lt;&gt;"")*($E$33:$E$38&lt;&gt;""))+SUMPRODUCT(($F$33:$F$38=$H34)*($D$33:$D$38&lt;&gt;"")*($E$33:$E$38&lt;&gt;""))</f>
        <v>3</v>
      </c>
      <c r="J34" s="5" t="n">
        <f aca="false">SUMPRODUCT(($C$33:$C$38=$H34)*($D$33:$D$38&lt;&gt;"")*($E$33:$E$38&lt;&gt;"")*($D$33:$D$38&gt;$E$33:$E$38))*3+SUMPRODUCT(($F$33:$F$38=$H34)*($D$33:$D$38&lt;&gt;"")*($E$33:$E$38&lt;&gt;"")*($E$33:$E$38&gt;$D$33:$D$38))*3+SUMPRODUCT((($C$33:$C$38=$H34)+($F$33:$F$38=$H34))*($D$33:$D$38&lt;&gt;"")*($E$33:$E$38&lt;&gt;"")*($D$33:$D$38=$E$33:$E$38))</f>
        <v>2</v>
      </c>
      <c r="K34" s="5" t="n">
        <f aca="false">SUMPRODUCT(($C$33:$C$38=$H34)*($D$33:$D$38&lt;&gt;"")*($E$33:$E$38&lt;&gt;"")*$D$33:$D$38)+SUMPRODUCT(($F$33:$F$38=$H34)*($D$33:$D$38&lt;&gt;"")*($E$33:$E$38&lt;&gt;"")*$E$33:$E$38)</f>
        <v>2</v>
      </c>
      <c r="L34" s="5" t="n">
        <f aca="false">SUMPRODUCT(($C$33:$C$38=$H34)*($D$33:$D$38&lt;&gt;"")*($E$33:$E$38&lt;&gt;"")*$E$33:$E$38)+SUMPRODUCT(($F$33:$F$38=$H34)*($D$33:$D$38&lt;&gt;"")*($E$33:$E$38&lt;&gt;"")*$D$33:$D$38)</f>
        <v>3</v>
      </c>
      <c r="M34" s="5" t="n">
        <f aca="false">K34-L34</f>
        <v>-1</v>
      </c>
      <c r="N34" s="5" t="n">
        <f aca="false">J34*10000000+(M34+100)*10000+K34*10+(3-COUNTIF($H$33:$H$38,"&lt;"&amp;H34))</f>
        <v>20990021</v>
      </c>
      <c r="O34" s="5" t="n">
        <f aca="false">RANK(N34,$N$33:$N$38)</f>
        <v>4</v>
      </c>
      <c r="Q34" s="5" t="s">
        <v>23</v>
      </c>
      <c r="R34" s="0" t="str">
        <f aca="false">INDEX($H$33:$H$38,MATCH(2,$O$33:$O$38,0))</f>
        <v>Australia</v>
      </c>
    </row>
    <row r="35" customFormat="false" ht="15" hidden="false" customHeight="false" outlineLevel="0" collapsed="false">
      <c r="A35" s="0" t="n">
        <v>31</v>
      </c>
      <c r="B35" s="0" t="s">
        <v>39</v>
      </c>
      <c r="C35" s="0" t="s">
        <v>41</v>
      </c>
      <c r="D35" s="4" t="n">
        <v>1</v>
      </c>
      <c r="E35" s="4" t="n">
        <v>1</v>
      </c>
      <c r="F35" s="5" t="s">
        <v>43</v>
      </c>
      <c r="H35" s="5" t="s">
        <v>43</v>
      </c>
      <c r="I35" s="5" t="n">
        <f aca="false">SUMPRODUCT(($C$33:$C$38=$H35)*($D$33:$D$38&lt;&gt;"")*($E$33:$E$38&lt;&gt;""))+SUMPRODUCT(($F$33:$F$38=$H35)*($D$33:$D$38&lt;&gt;"")*($E$33:$E$38&lt;&gt;""))</f>
        <v>3</v>
      </c>
      <c r="J35" s="5" t="n">
        <f aca="false">SUMPRODUCT(($C$33:$C$38=$H35)*($D$33:$D$38&lt;&gt;"")*($E$33:$E$38&lt;&gt;"")*($D$33:$D$38&gt;$E$33:$E$38))*3+SUMPRODUCT(($F$33:$F$38=$H35)*($D$33:$D$38&lt;&gt;"")*($E$33:$E$38&lt;&gt;"")*($E$33:$E$38&gt;$D$33:$D$38))*3+SUMPRODUCT((($C$33:$C$38=$H35)+($F$33:$F$38=$H35))*($D$33:$D$38&lt;&gt;"")*($E$33:$E$38&lt;&gt;"")*($D$33:$D$38=$E$33:$E$38))</f>
        <v>3</v>
      </c>
      <c r="K35" s="5" t="n">
        <f aca="false">SUMPRODUCT(($C$33:$C$38=$H35)*($D$33:$D$38&lt;&gt;"")*($E$33:$E$38&lt;&gt;"")*$D$33:$D$38)+SUMPRODUCT(($F$33:$F$38=$H35)*($D$33:$D$38&lt;&gt;"")*($E$33:$E$38&lt;&gt;"")*$E$33:$E$38)</f>
        <v>3</v>
      </c>
      <c r="L35" s="5" t="n">
        <f aca="false">SUMPRODUCT(($C$33:$C$38=$H35)*($D$33:$D$38&lt;&gt;"")*($E$33:$E$38&lt;&gt;"")*$E$33:$E$38)+SUMPRODUCT(($F$33:$F$38=$H35)*($D$33:$D$38&lt;&gt;"")*($E$33:$E$38&lt;&gt;"")*$D$33:$D$38)</f>
        <v>3</v>
      </c>
      <c r="M35" s="5" t="n">
        <f aca="false">K35-L35</f>
        <v>0</v>
      </c>
      <c r="N35" s="5" t="n">
        <f aca="false">J35*10000000+(M35+100)*10000+K35*10+(3-COUNTIF($H$33:$H$38,"&lt;"&amp;H35))</f>
        <v>31000033</v>
      </c>
      <c r="O35" s="5" t="n">
        <f aca="false">RANK(N35,$N$33:$N$38)</f>
        <v>2</v>
      </c>
      <c r="Q35" s="5" t="s">
        <v>25</v>
      </c>
      <c r="R35" s="0" t="str">
        <f aca="false">INDEX($H$33:$H$38,MATCH(3,$O$33:$O$38,0))</f>
        <v>Turquía</v>
      </c>
    </row>
    <row r="36" customFormat="false" ht="15" hidden="false" customHeight="false" outlineLevel="0" collapsed="false">
      <c r="A36" s="0" t="n">
        <v>32</v>
      </c>
      <c r="B36" s="0" t="s">
        <v>39</v>
      </c>
      <c r="C36" s="0" t="s">
        <v>44</v>
      </c>
      <c r="D36" s="4" t="n">
        <v>1</v>
      </c>
      <c r="E36" s="4" t="n">
        <v>1</v>
      </c>
      <c r="F36" s="5" t="s">
        <v>42</v>
      </c>
      <c r="H36" s="5" t="s">
        <v>44</v>
      </c>
      <c r="I36" s="5" t="n">
        <f aca="false">SUMPRODUCT(($C$33:$C$38=$H36)*($D$33:$D$38&lt;&gt;"")*($E$33:$E$38&lt;&gt;""))+SUMPRODUCT(($F$33:$F$38=$H36)*($D$33:$D$38&lt;&gt;"")*($E$33:$E$38&lt;&gt;""))</f>
        <v>3</v>
      </c>
      <c r="J36" s="5" t="n">
        <f aca="false">SUMPRODUCT(($C$33:$C$38=$H36)*($D$33:$D$38&lt;&gt;"")*($E$33:$E$38&lt;&gt;"")*($D$33:$D$38&gt;$E$33:$E$38))*3+SUMPRODUCT(($F$33:$F$38=$H36)*($D$33:$D$38&lt;&gt;"")*($E$33:$E$38&lt;&gt;"")*($E$33:$E$38&gt;$D$33:$D$38))*3+SUMPRODUCT((($C$33:$C$38=$H36)+($F$33:$F$38=$H36))*($D$33:$D$38&lt;&gt;"")*($E$33:$E$38&lt;&gt;"")*($D$33:$D$38=$E$33:$E$38))</f>
        <v>3</v>
      </c>
      <c r="K36" s="5" t="n">
        <f aca="false">SUMPRODUCT(($C$33:$C$38=$H36)*($D$33:$D$38&lt;&gt;"")*($E$33:$E$38&lt;&gt;"")*$D$33:$D$38)+SUMPRODUCT(($F$33:$F$38=$H36)*($D$33:$D$38&lt;&gt;"")*($E$33:$E$38&lt;&gt;"")*$E$33:$E$38)</f>
        <v>3</v>
      </c>
      <c r="L36" s="5" t="n">
        <f aca="false">SUMPRODUCT(($C$33:$C$38=$H36)*($D$33:$D$38&lt;&gt;"")*($E$33:$E$38&lt;&gt;"")*$E$33:$E$38)+SUMPRODUCT(($F$33:$F$38=$H36)*($D$33:$D$38&lt;&gt;"")*($E$33:$E$38&lt;&gt;"")*$D$33:$D$38)</f>
        <v>3</v>
      </c>
      <c r="M36" s="5" t="n">
        <f aca="false">K36-L36</f>
        <v>0</v>
      </c>
      <c r="N36" s="5" t="n">
        <f aca="false">J36*10000000+(M36+100)*10000+K36*10+(3-COUNTIF($H$33:$H$38,"&lt;"&amp;H36))</f>
        <v>31000030</v>
      </c>
      <c r="O36" s="5" t="n">
        <f aca="false">RANK(N36,$N$33:$N$38)</f>
        <v>3</v>
      </c>
    </row>
    <row r="37" customFormat="false" ht="15" hidden="false" customHeight="false" outlineLevel="0" collapsed="false">
      <c r="A37" s="0" t="n">
        <v>55</v>
      </c>
      <c r="B37" s="0" t="s">
        <v>45</v>
      </c>
      <c r="C37" s="0" t="s">
        <v>44</v>
      </c>
      <c r="D37" s="4" t="n">
        <v>1</v>
      </c>
      <c r="E37" s="4" t="n">
        <v>1</v>
      </c>
      <c r="F37" s="5" t="s">
        <v>41</v>
      </c>
    </row>
    <row r="38" customFormat="false" ht="15" hidden="false" customHeight="false" outlineLevel="0" collapsed="false">
      <c r="A38" s="0" t="n">
        <v>56</v>
      </c>
      <c r="B38" s="0" t="s">
        <v>45</v>
      </c>
      <c r="C38" s="0" t="s">
        <v>42</v>
      </c>
      <c r="D38" s="4" t="n">
        <v>1</v>
      </c>
      <c r="E38" s="4" t="n">
        <v>1</v>
      </c>
      <c r="F38" s="5" t="s">
        <v>43</v>
      </c>
    </row>
    <row r="40" customFormat="false" ht="15" hidden="false" customHeight="false" outlineLevel="0" collapsed="false">
      <c r="A40" s="2" t="s">
        <v>46</v>
      </c>
    </row>
    <row r="41" customFormat="false" ht="15" hidden="false" customHeight="false" outlineLevel="0" collapsed="false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customFormat="false" ht="15" hidden="false" customHeight="false" outlineLevel="0" collapsed="false">
      <c r="A42" s="0" t="n">
        <v>9</v>
      </c>
      <c r="B42" s="0" t="s">
        <v>47</v>
      </c>
      <c r="C42" s="0" t="s">
        <v>48</v>
      </c>
      <c r="D42" s="4" t="n">
        <v>2</v>
      </c>
      <c r="E42" s="4" t="n">
        <v>0</v>
      </c>
      <c r="F42" s="5" t="s">
        <v>49</v>
      </c>
      <c r="H42" s="5" t="s">
        <v>48</v>
      </c>
      <c r="I42" s="5" t="n">
        <f aca="false">SUMPRODUCT(($C$42:$C$47=$H42)*($D$42:$D$47&lt;&gt;"")*($E$42:$E$47&lt;&gt;""))+SUMPRODUCT(($F$42:$F$47=$H42)*($D$42:$D$47&lt;&gt;"")*($E$42:$E$47&lt;&gt;""))</f>
        <v>3</v>
      </c>
      <c r="J42" s="5" t="n">
        <f aca="false">SUMPRODUCT(($C$42:$C$47=$H42)*($D$42:$D$47&lt;&gt;"")*($E$42:$E$47&lt;&gt;"")*($D$42:$D$47&gt;$E$42:$E$47))*3+SUMPRODUCT(($F$42:$F$47=$H42)*($D$42:$D$47&lt;&gt;"")*($E$42:$E$47&lt;&gt;"")*($E$42:$E$47&gt;$D$42:$D$47))*3+SUMPRODUCT((($C$42:$C$47=$H42)+($F$42:$F$47=$H42))*($D$42:$D$47&lt;&gt;"")*($E$42:$E$47&lt;&gt;"")*($D$42:$D$47=$E$42:$E$47))</f>
        <v>7</v>
      </c>
      <c r="K42" s="5" t="n">
        <f aca="false">SUMPRODUCT(($C$42:$C$47=$H42)*($D$42:$D$47&lt;&gt;"")*($E$42:$E$47&lt;&gt;"")*$D$42:$D$47)+SUMPRODUCT(($F$42:$F$47=$H42)*($D$42:$D$47&lt;&gt;"")*($E$42:$E$47&lt;&gt;"")*$E$42:$E$47)</f>
        <v>4</v>
      </c>
      <c r="L42" s="5" t="n">
        <f aca="false">SUMPRODUCT(($C$42:$C$47=$H42)*($D$42:$D$47&lt;&gt;"")*($E$42:$E$47&lt;&gt;"")*$E$42:$E$47)+SUMPRODUCT(($F$42:$F$47=$H42)*($D$42:$D$47&lt;&gt;"")*($E$42:$E$47&lt;&gt;"")*$D$42:$D$47)</f>
        <v>1</v>
      </c>
      <c r="M42" s="5" t="n">
        <f aca="false">K42-L42</f>
        <v>3</v>
      </c>
      <c r="N42" s="5" t="n">
        <f aca="false">J42*10000000+(M42+100)*10000+K42*10+(3-COUNTIF($H$42:$H$47,"&lt;"&amp;H42))</f>
        <v>71030043</v>
      </c>
      <c r="O42" s="5" t="n">
        <f aca="false">RANK(N42,$N$42:$N$47)</f>
        <v>1</v>
      </c>
      <c r="Q42" s="5" t="s">
        <v>20</v>
      </c>
      <c r="R42" s="0" t="str">
        <f aca="false">INDEX($H$42:$H$47,MATCH(1,$O$42:$O$47,0))</f>
        <v>Alemania</v>
      </c>
    </row>
    <row r="43" customFormat="false" ht="15" hidden="false" customHeight="false" outlineLevel="0" collapsed="false">
      <c r="A43" s="0" t="n">
        <v>10</v>
      </c>
      <c r="B43" s="0" t="s">
        <v>47</v>
      </c>
      <c r="C43" s="0" t="s">
        <v>50</v>
      </c>
      <c r="D43" s="4" t="n">
        <v>0</v>
      </c>
      <c r="E43" s="4" t="n">
        <v>1</v>
      </c>
      <c r="F43" s="5" t="s">
        <v>51</v>
      </c>
      <c r="H43" s="5" t="s">
        <v>49</v>
      </c>
      <c r="I43" s="5" t="n">
        <f aca="false">SUMPRODUCT(($C$42:$C$47=$H43)*($D$42:$D$47&lt;&gt;"")*($E$42:$E$47&lt;&gt;""))+SUMPRODUCT(($F$42:$F$47=$H43)*($D$42:$D$47&lt;&gt;"")*($E$42:$E$47&lt;&gt;""))</f>
        <v>3</v>
      </c>
      <c r="J43" s="5" t="n">
        <f aca="false">SUMPRODUCT(($C$42:$C$47=$H43)*($D$42:$D$47&lt;&gt;"")*($E$42:$E$47&lt;&gt;"")*($D$42:$D$47&gt;$E$42:$E$47))*3+SUMPRODUCT(($F$42:$F$47=$H43)*($D$42:$D$47&lt;&gt;"")*($E$42:$E$47&lt;&gt;"")*($E$42:$E$47&gt;$D$42:$D$47))*3+SUMPRODUCT((($C$42:$C$47=$H43)+($F$42:$F$47=$H43))*($D$42:$D$47&lt;&gt;"")*($E$42:$E$47&lt;&gt;"")*($D$42:$D$47=$E$42:$E$47))</f>
        <v>0</v>
      </c>
      <c r="K43" s="5" t="n">
        <f aca="false">SUMPRODUCT(($C$42:$C$47=$H43)*($D$42:$D$47&lt;&gt;"")*($E$42:$E$47&lt;&gt;"")*$D$42:$D$47)+SUMPRODUCT(($F$42:$F$47=$H43)*($D$42:$D$47&lt;&gt;"")*($E$42:$E$47&lt;&gt;"")*$E$42:$E$47)</f>
        <v>0</v>
      </c>
      <c r="L43" s="5" t="n">
        <f aca="false">SUMPRODUCT(($C$42:$C$47=$H43)*($D$42:$D$47&lt;&gt;"")*($E$42:$E$47&lt;&gt;"")*$E$42:$E$47)+SUMPRODUCT(($F$42:$F$47=$H43)*($D$42:$D$47&lt;&gt;"")*($E$42:$E$47&lt;&gt;"")*$D$42:$D$47)</f>
        <v>5</v>
      </c>
      <c r="M43" s="5" t="n">
        <f aca="false">K43-L43</f>
        <v>-5</v>
      </c>
      <c r="N43" s="5" t="n">
        <f aca="false">J43*10000000+(M43+100)*10000+K43*10+(3-COUNTIF($H$42:$H$47,"&lt;"&amp;H43))</f>
        <v>950001</v>
      </c>
      <c r="O43" s="5" t="n">
        <f aca="false">RANK(N43,$N$42:$N$47)</f>
        <v>4</v>
      </c>
      <c r="Q43" s="5" t="s">
        <v>23</v>
      </c>
      <c r="R43" s="0" t="str">
        <f aca="false">INDEX($H$42:$H$47,MATCH(2,$O$42:$O$47,0))</f>
        <v>Ecuador</v>
      </c>
    </row>
    <row r="44" customFormat="false" ht="15" hidden="false" customHeight="false" outlineLevel="0" collapsed="false">
      <c r="A44" s="0" t="n">
        <v>33</v>
      </c>
      <c r="B44" s="0" t="s">
        <v>52</v>
      </c>
      <c r="C44" s="0" t="s">
        <v>48</v>
      </c>
      <c r="D44" s="4" t="n">
        <v>1</v>
      </c>
      <c r="E44" s="4" t="n">
        <v>0</v>
      </c>
      <c r="F44" s="5" t="s">
        <v>50</v>
      </c>
      <c r="H44" s="5" t="s">
        <v>50</v>
      </c>
      <c r="I44" s="5" t="n">
        <f aca="false">SUMPRODUCT(($C$42:$C$47=$H44)*($D$42:$D$47&lt;&gt;"")*($E$42:$E$47&lt;&gt;""))+SUMPRODUCT(($F$42:$F$47=$H44)*($D$42:$D$47&lt;&gt;"")*($E$42:$E$47&lt;&gt;""))</f>
        <v>3</v>
      </c>
      <c r="J44" s="5" t="n">
        <f aca="false">SUMPRODUCT(($C$42:$C$47=$H44)*($D$42:$D$47&lt;&gt;"")*($E$42:$E$47&lt;&gt;"")*($D$42:$D$47&gt;$E$42:$E$47))*3+SUMPRODUCT(($F$42:$F$47=$H44)*($D$42:$D$47&lt;&gt;"")*($E$42:$E$47&lt;&gt;"")*($E$42:$E$47&gt;$D$42:$D$47))*3+SUMPRODUCT((($C$42:$C$47=$H44)+($F$42:$F$47=$H44))*($D$42:$D$47&lt;&gt;"")*($E$42:$E$47&lt;&gt;"")*($D$42:$D$47=$E$42:$E$47))</f>
        <v>3</v>
      </c>
      <c r="K44" s="5" t="n">
        <f aca="false">SUMPRODUCT(($C$42:$C$47=$H44)*($D$42:$D$47&lt;&gt;"")*($E$42:$E$47&lt;&gt;"")*$D$42:$D$47)+SUMPRODUCT(($F$42:$F$47=$H44)*($D$42:$D$47&lt;&gt;"")*($E$42:$E$47&lt;&gt;"")*$E$42:$E$47)</f>
        <v>1</v>
      </c>
      <c r="L44" s="5" t="n">
        <f aca="false">SUMPRODUCT(($C$42:$C$47=$H44)*($D$42:$D$47&lt;&gt;"")*($E$42:$E$47&lt;&gt;"")*$E$42:$E$47)+SUMPRODUCT(($F$42:$F$47=$H44)*($D$42:$D$47&lt;&gt;"")*($E$42:$E$47&lt;&gt;"")*$D$42:$D$47)</f>
        <v>2</v>
      </c>
      <c r="M44" s="5" t="n">
        <f aca="false">K44-L44</f>
        <v>-1</v>
      </c>
      <c r="N44" s="5" t="n">
        <f aca="false">J44*10000000+(M44+100)*10000+K44*10+(3-COUNTIF($H$42:$H$47,"&lt;"&amp;H44))</f>
        <v>30990012</v>
      </c>
      <c r="O44" s="5" t="n">
        <f aca="false">RANK(N44,$N$42:$N$47)</f>
        <v>3</v>
      </c>
      <c r="Q44" s="5" t="s">
        <v>25</v>
      </c>
      <c r="R44" s="0" t="str">
        <f aca="false">INDEX($H$42:$H$47,MATCH(3,$O$42:$O$47,0))</f>
        <v>Costa de Marfil</v>
      </c>
    </row>
    <row r="45" customFormat="false" ht="15" hidden="false" customHeight="false" outlineLevel="0" collapsed="false">
      <c r="A45" s="0" t="n">
        <v>34</v>
      </c>
      <c r="B45" s="0" t="s">
        <v>52</v>
      </c>
      <c r="C45" s="0" t="s">
        <v>51</v>
      </c>
      <c r="D45" s="4" t="n">
        <v>2</v>
      </c>
      <c r="E45" s="4" t="n">
        <v>0</v>
      </c>
      <c r="F45" s="5" t="s">
        <v>49</v>
      </c>
      <c r="H45" s="5" t="s">
        <v>51</v>
      </c>
      <c r="I45" s="5" t="n">
        <f aca="false">SUMPRODUCT(($C$42:$C$47=$H45)*($D$42:$D$47&lt;&gt;"")*($E$42:$E$47&lt;&gt;""))+SUMPRODUCT(($F$42:$F$47=$H45)*($D$42:$D$47&lt;&gt;"")*($E$42:$E$47&lt;&gt;""))</f>
        <v>3</v>
      </c>
      <c r="J45" s="5" t="n">
        <f aca="false">SUMPRODUCT(($C$42:$C$47=$H45)*($D$42:$D$47&lt;&gt;"")*($E$42:$E$47&lt;&gt;"")*($D$42:$D$47&gt;$E$42:$E$47))*3+SUMPRODUCT(($F$42:$F$47=$H45)*($D$42:$D$47&lt;&gt;"")*($E$42:$E$47&lt;&gt;"")*($E$42:$E$47&gt;$D$42:$D$47))*3+SUMPRODUCT((($C$42:$C$47=$H45)+($F$42:$F$47=$H45))*($D$42:$D$47&lt;&gt;"")*($E$42:$E$47&lt;&gt;"")*($D$42:$D$47=$E$42:$E$47))</f>
        <v>7</v>
      </c>
      <c r="K45" s="5" t="n">
        <f aca="false">SUMPRODUCT(($C$42:$C$47=$H45)*($D$42:$D$47&lt;&gt;"")*($E$42:$E$47&lt;&gt;"")*$D$42:$D$47)+SUMPRODUCT(($F$42:$F$47=$H45)*($D$42:$D$47&lt;&gt;"")*($E$42:$E$47&lt;&gt;"")*$E$42:$E$47)</f>
        <v>4</v>
      </c>
      <c r="L45" s="5" t="n">
        <f aca="false">SUMPRODUCT(($C$42:$C$47=$H45)*($D$42:$D$47&lt;&gt;"")*($E$42:$E$47&lt;&gt;"")*$E$42:$E$47)+SUMPRODUCT(($F$42:$F$47=$H45)*($D$42:$D$47&lt;&gt;"")*($E$42:$E$47&lt;&gt;"")*$D$42:$D$47)</f>
        <v>1</v>
      </c>
      <c r="M45" s="5" t="n">
        <f aca="false">K45-L45</f>
        <v>3</v>
      </c>
      <c r="N45" s="5" t="n">
        <f aca="false">J45*10000000+(M45+100)*10000+K45*10+(3-COUNTIF($H$42:$H$47,"&lt;"&amp;H45))</f>
        <v>71030040</v>
      </c>
      <c r="O45" s="5" t="n">
        <f aca="false">RANK(N45,$N$42:$N$47)</f>
        <v>2</v>
      </c>
    </row>
    <row r="46" customFormat="false" ht="15" hidden="false" customHeight="false" outlineLevel="0" collapsed="false">
      <c r="A46" s="0" t="n">
        <v>57</v>
      </c>
      <c r="B46" s="0" t="s">
        <v>45</v>
      </c>
      <c r="C46" s="0" t="s">
        <v>49</v>
      </c>
      <c r="D46" s="4" t="n">
        <v>0</v>
      </c>
      <c r="E46" s="4" t="n">
        <v>1</v>
      </c>
      <c r="F46" s="5" t="s">
        <v>50</v>
      </c>
    </row>
    <row r="47" customFormat="false" ht="15" hidden="false" customHeight="false" outlineLevel="0" collapsed="false">
      <c r="A47" s="0" t="n">
        <v>58</v>
      </c>
      <c r="B47" s="0" t="s">
        <v>45</v>
      </c>
      <c r="C47" s="0" t="s">
        <v>51</v>
      </c>
      <c r="D47" s="4" t="n">
        <v>1</v>
      </c>
      <c r="E47" s="4" t="n">
        <v>1</v>
      </c>
      <c r="F47" s="5" t="s">
        <v>48</v>
      </c>
    </row>
    <row r="49" customFormat="false" ht="15" hidden="false" customHeight="false" outlineLevel="0" collapsed="false">
      <c r="A49" s="2" t="s">
        <v>53</v>
      </c>
    </row>
    <row r="50" customFormat="false" ht="15" hidden="false" customHeight="false" outlineLevel="0" collapsed="false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H50" s="3" t="s">
        <v>9</v>
      </c>
      <c r="I50" s="3" t="s">
        <v>10</v>
      </c>
      <c r="J50" s="3" t="s">
        <v>11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customFormat="false" ht="15" hidden="false" customHeight="false" outlineLevel="0" collapsed="false">
      <c r="A51" s="0" t="n">
        <v>11</v>
      </c>
      <c r="B51" s="0" t="s">
        <v>47</v>
      </c>
      <c r="C51" s="0" t="s">
        <v>54</v>
      </c>
      <c r="D51" s="4" t="n">
        <v>1</v>
      </c>
      <c r="E51" s="4" t="n">
        <v>0</v>
      </c>
      <c r="F51" s="5" t="s">
        <v>55</v>
      </c>
      <c r="H51" s="5" t="s">
        <v>54</v>
      </c>
      <c r="I51" s="5" t="n">
        <f aca="false">SUMPRODUCT(($C$51:$C$56=$H51)*($D$51:$D$56&lt;&gt;"")*($E$51:$E$56&lt;&gt;""))+SUMPRODUCT(($F$51:$F$56=$H51)*($D$51:$D$56&lt;&gt;"")*($E$51:$E$56&lt;&gt;""))</f>
        <v>3</v>
      </c>
      <c r="J51" s="5" t="n">
        <f aca="false">SUMPRODUCT(($C$51:$C$56=$H51)*($D$51:$D$56&lt;&gt;"")*($E$51:$E$56&lt;&gt;"")*($D$51:$D$56&gt;$E$51:$E$56))*3+SUMPRODUCT(($F$51:$F$56=$H51)*($D$51:$D$56&lt;&gt;"")*($E$51:$E$56&lt;&gt;"")*($E$51:$E$56&gt;$D$51:$D$56))*3+SUMPRODUCT((($C$51:$C$56=$H51)+($F$51:$F$56=$H51))*($D$51:$D$56&lt;&gt;"")*($E$51:$E$56&lt;&gt;"")*($D$51:$D$56=$E$51:$E$56))</f>
        <v>9</v>
      </c>
      <c r="K51" s="5" t="n">
        <f aca="false">SUMPRODUCT(($C$51:$C$56=$H51)*($D$51:$D$56&lt;&gt;"")*($E$51:$E$56&lt;&gt;"")*$D$51:$D$56)+SUMPRODUCT(($F$51:$F$56=$H51)*($D$51:$D$56&lt;&gt;"")*($E$51:$E$56&lt;&gt;"")*$E$51:$E$56)</f>
        <v>5</v>
      </c>
      <c r="L51" s="5" t="n">
        <f aca="false">SUMPRODUCT(($C$51:$C$56=$H51)*($D$51:$D$56&lt;&gt;"")*($E$51:$E$56&lt;&gt;"")*$E$51:$E$56)+SUMPRODUCT(($F$51:$F$56=$H51)*($D$51:$D$56&lt;&gt;"")*($E$51:$E$56&lt;&gt;"")*$D$51:$D$56)</f>
        <v>0</v>
      </c>
      <c r="M51" s="5" t="n">
        <f aca="false">K51-L51</f>
        <v>5</v>
      </c>
      <c r="N51" s="5" t="n">
        <f aca="false">J51*10000000+(M51+100)*10000+K51*10+(3-COUNTIF($H$51:$H$56,"&lt;"&amp;H51))</f>
        <v>91050053</v>
      </c>
      <c r="O51" s="5" t="n">
        <f aca="false">RANK(N51,$N$51:$N$56)</f>
        <v>1</v>
      </c>
      <c r="Q51" s="5" t="s">
        <v>20</v>
      </c>
      <c r="R51" s="0" t="str">
        <f aca="false">INDEX($H$51:$H$56,MATCH(1,$O$51:$O$56,0))</f>
        <v>Holanda</v>
      </c>
    </row>
    <row r="52" customFormat="false" ht="15" hidden="false" customHeight="false" outlineLevel="0" collapsed="false">
      <c r="A52" s="0" t="n">
        <v>12</v>
      </c>
      <c r="B52" s="0" t="s">
        <v>47</v>
      </c>
      <c r="C52" s="0" t="s">
        <v>56</v>
      </c>
      <c r="D52" s="4" t="n">
        <v>1</v>
      </c>
      <c r="E52" s="4" t="n">
        <v>1</v>
      </c>
      <c r="F52" s="5" t="s">
        <v>57</v>
      </c>
      <c r="H52" s="5" t="s">
        <v>55</v>
      </c>
      <c r="I52" s="5" t="n">
        <f aca="false">SUMPRODUCT(($C$51:$C$56=$H52)*($D$51:$D$56&lt;&gt;"")*($E$51:$E$56&lt;&gt;""))+SUMPRODUCT(($F$51:$F$56=$H52)*($D$51:$D$56&lt;&gt;"")*($E$51:$E$56&lt;&gt;""))</f>
        <v>3</v>
      </c>
      <c r="J52" s="5" t="n">
        <f aca="false">SUMPRODUCT(($C$51:$C$56=$H52)*($D$51:$D$56&lt;&gt;"")*($E$51:$E$56&lt;&gt;"")*($D$51:$D$56&gt;$E$51:$E$56))*3+SUMPRODUCT(($F$51:$F$56=$H52)*($D$51:$D$56&lt;&gt;"")*($E$51:$E$56&lt;&gt;"")*($E$51:$E$56&gt;$D$51:$D$56))*3+SUMPRODUCT((($C$51:$C$56=$H52)+($F$51:$F$56=$H52))*($D$51:$D$56&lt;&gt;"")*($E$51:$E$56&lt;&gt;"")*($D$51:$D$56=$E$51:$E$56))</f>
        <v>2</v>
      </c>
      <c r="K52" s="5" t="n">
        <f aca="false">SUMPRODUCT(($C$51:$C$56=$H52)*($D$51:$D$56&lt;&gt;"")*($E$51:$E$56&lt;&gt;"")*$D$51:$D$56)+SUMPRODUCT(($F$51:$F$56=$H52)*($D$51:$D$56&lt;&gt;"")*($E$51:$E$56&lt;&gt;"")*$E$51:$E$56)</f>
        <v>2</v>
      </c>
      <c r="L52" s="5" t="n">
        <f aca="false">SUMPRODUCT(($C$51:$C$56=$H52)*($D$51:$D$56&lt;&gt;"")*($E$51:$E$56&lt;&gt;"")*$E$51:$E$56)+SUMPRODUCT(($F$51:$F$56=$H52)*($D$51:$D$56&lt;&gt;"")*($E$51:$E$56&lt;&gt;"")*$D$51:$D$56)</f>
        <v>3</v>
      </c>
      <c r="M52" s="5" t="n">
        <f aca="false">K52-L52</f>
        <v>-1</v>
      </c>
      <c r="N52" s="5" t="n">
        <f aca="false">J52*10000000+(M52+100)*10000+K52*10+(3-COUNTIF($H$51:$H$56,"&lt;"&amp;H52))</f>
        <v>20990022</v>
      </c>
      <c r="O52" s="5" t="n">
        <f aca="false">RANK(N52,$N$51:$N$56)</f>
        <v>2</v>
      </c>
      <c r="Q52" s="5" t="s">
        <v>23</v>
      </c>
      <c r="R52" s="0" t="str">
        <f aca="false">INDEX($H$51:$H$56,MATCH(2,$O$51:$O$56,0))</f>
        <v>Japón</v>
      </c>
    </row>
    <row r="53" customFormat="false" ht="15" hidden="false" customHeight="false" outlineLevel="0" collapsed="false">
      <c r="A53" s="0" t="n">
        <v>35</v>
      </c>
      <c r="B53" s="0" t="s">
        <v>52</v>
      </c>
      <c r="C53" s="0" t="s">
        <v>54</v>
      </c>
      <c r="D53" s="4" t="n">
        <v>2</v>
      </c>
      <c r="E53" s="4" t="n">
        <v>0</v>
      </c>
      <c r="F53" s="5" t="s">
        <v>56</v>
      </c>
      <c r="H53" s="5" t="s">
        <v>56</v>
      </c>
      <c r="I53" s="5" t="n">
        <f aca="false">SUMPRODUCT(($C$51:$C$56=$H53)*($D$51:$D$56&lt;&gt;"")*($E$51:$E$56&lt;&gt;""))+SUMPRODUCT(($F$51:$F$56=$H53)*($D$51:$D$56&lt;&gt;"")*($E$51:$E$56&lt;&gt;""))</f>
        <v>3</v>
      </c>
      <c r="J53" s="5" t="n">
        <f aca="false">SUMPRODUCT(($C$51:$C$56=$H53)*($D$51:$D$56&lt;&gt;"")*($E$51:$E$56&lt;&gt;"")*($D$51:$D$56&gt;$E$51:$E$56))*3+SUMPRODUCT(($F$51:$F$56=$H53)*($D$51:$D$56&lt;&gt;"")*($E$51:$E$56&lt;&gt;"")*($E$51:$E$56&gt;$D$51:$D$56))*3+SUMPRODUCT((($C$51:$C$56=$H53)+($F$51:$F$56=$H53))*($D$51:$D$56&lt;&gt;"")*($E$51:$E$56&lt;&gt;"")*($D$51:$D$56=$E$51:$E$56))</f>
        <v>2</v>
      </c>
      <c r="K53" s="5" t="n">
        <f aca="false">SUMPRODUCT(($C$51:$C$56=$H53)*($D$51:$D$56&lt;&gt;"")*($E$51:$E$56&lt;&gt;"")*$D$51:$D$56)+SUMPRODUCT(($F$51:$F$56=$H53)*($D$51:$D$56&lt;&gt;"")*($E$51:$E$56&lt;&gt;"")*$E$51:$E$56)</f>
        <v>2</v>
      </c>
      <c r="L53" s="5" t="n">
        <f aca="false">SUMPRODUCT(($C$51:$C$56=$H53)*($D$51:$D$56&lt;&gt;"")*($E$51:$E$56&lt;&gt;"")*$E$51:$E$56)+SUMPRODUCT(($F$51:$F$56=$H53)*($D$51:$D$56&lt;&gt;"")*($E$51:$E$56&lt;&gt;"")*$D$51:$D$56)</f>
        <v>4</v>
      </c>
      <c r="M53" s="5" t="n">
        <f aca="false">K53-L53</f>
        <v>-2</v>
      </c>
      <c r="N53" s="5" t="n">
        <f aca="false">J53*10000000+(M53+100)*10000+K53*10+(3-COUNTIF($H$51:$H$56,"&lt;"&amp;H53))</f>
        <v>20980021</v>
      </c>
      <c r="O53" s="5" t="n">
        <f aca="false">RANK(N53,$N$51:$N$56)</f>
        <v>3</v>
      </c>
      <c r="Q53" s="5" t="s">
        <v>25</v>
      </c>
      <c r="R53" s="0" t="str">
        <f aca="false">INDEX($H$51:$H$56,MATCH(3,$O$51:$O$56,0))</f>
        <v>Suecia</v>
      </c>
    </row>
    <row r="54" customFormat="false" ht="15" hidden="false" customHeight="false" outlineLevel="0" collapsed="false">
      <c r="A54" s="0" t="n">
        <v>36</v>
      </c>
      <c r="B54" s="0" t="s">
        <v>52</v>
      </c>
      <c r="C54" s="0" t="s">
        <v>57</v>
      </c>
      <c r="D54" s="4" t="n">
        <v>1</v>
      </c>
      <c r="E54" s="4" t="n">
        <v>1</v>
      </c>
      <c r="F54" s="5" t="s">
        <v>55</v>
      </c>
      <c r="H54" s="5" t="s">
        <v>57</v>
      </c>
      <c r="I54" s="5" t="n">
        <f aca="false">SUMPRODUCT(($C$51:$C$56=$H54)*($D$51:$D$56&lt;&gt;"")*($E$51:$E$56&lt;&gt;""))+SUMPRODUCT(($F$51:$F$56=$H54)*($D$51:$D$56&lt;&gt;"")*($E$51:$E$56&lt;&gt;""))</f>
        <v>3</v>
      </c>
      <c r="J54" s="5" t="n">
        <f aca="false">SUMPRODUCT(($C$51:$C$56=$H54)*($D$51:$D$56&lt;&gt;"")*($E$51:$E$56&lt;&gt;"")*($D$51:$D$56&gt;$E$51:$E$56))*3+SUMPRODUCT(($F$51:$F$56=$H54)*($D$51:$D$56&lt;&gt;"")*($E$51:$E$56&lt;&gt;"")*($E$51:$E$56&gt;$D$51:$D$56))*3+SUMPRODUCT((($C$51:$C$56=$H54)+($F$51:$F$56=$H54))*($D$51:$D$56&lt;&gt;"")*($E$51:$E$56&lt;&gt;"")*($D$51:$D$56=$E$51:$E$56))</f>
        <v>2</v>
      </c>
      <c r="K54" s="5" t="n">
        <f aca="false">SUMPRODUCT(($C$51:$C$56=$H54)*($D$51:$D$56&lt;&gt;"")*($E$51:$E$56&lt;&gt;"")*$D$51:$D$56)+SUMPRODUCT(($F$51:$F$56=$H54)*($D$51:$D$56&lt;&gt;"")*($E$51:$E$56&lt;&gt;"")*$E$51:$E$56)</f>
        <v>2</v>
      </c>
      <c r="L54" s="5" t="n">
        <f aca="false">SUMPRODUCT(($C$51:$C$56=$H54)*($D$51:$D$56&lt;&gt;"")*($E$51:$E$56&lt;&gt;"")*$E$51:$E$56)+SUMPRODUCT(($F$51:$F$56=$H54)*($D$51:$D$56&lt;&gt;"")*($E$51:$E$56&lt;&gt;"")*$D$51:$D$56)</f>
        <v>4</v>
      </c>
      <c r="M54" s="5" t="n">
        <f aca="false">K54-L54</f>
        <v>-2</v>
      </c>
      <c r="N54" s="5" t="n">
        <f aca="false">J54*10000000+(M54+100)*10000+K54*10+(3-COUNTIF($H$51:$H$56,"&lt;"&amp;H54))</f>
        <v>20980020</v>
      </c>
      <c r="O54" s="5" t="n">
        <f aca="false">RANK(N54,$N$51:$N$56)</f>
        <v>4</v>
      </c>
    </row>
    <row r="55" customFormat="false" ht="15" hidden="false" customHeight="false" outlineLevel="0" collapsed="false">
      <c r="A55" s="0" t="n">
        <v>59</v>
      </c>
      <c r="B55" s="0" t="s">
        <v>45</v>
      </c>
      <c r="C55" s="0" t="s">
        <v>55</v>
      </c>
      <c r="D55" s="4" t="n">
        <v>1</v>
      </c>
      <c r="E55" s="4" t="n">
        <v>1</v>
      </c>
      <c r="F55" s="5" t="s">
        <v>56</v>
      </c>
    </row>
    <row r="56" customFormat="false" ht="15" hidden="false" customHeight="false" outlineLevel="0" collapsed="false">
      <c r="A56" s="0" t="n">
        <v>60</v>
      </c>
      <c r="B56" s="0" t="s">
        <v>45</v>
      </c>
      <c r="C56" s="0" t="s">
        <v>57</v>
      </c>
      <c r="D56" s="4" t="n">
        <v>0</v>
      </c>
      <c r="E56" s="4" t="n">
        <v>2</v>
      </c>
      <c r="F56" s="5" t="s">
        <v>54</v>
      </c>
    </row>
    <row r="58" customFormat="false" ht="15" hidden="false" customHeight="false" outlineLevel="0" collapsed="false">
      <c r="A58" s="2" t="s">
        <v>58</v>
      </c>
    </row>
    <row r="59" customFormat="false" ht="15" hidden="false" customHeight="false" outlineLevel="0" collapsed="false">
      <c r="A59" s="3" t="s">
        <v>3</v>
      </c>
      <c r="B59" s="3" t="s">
        <v>4</v>
      </c>
      <c r="C59" s="3" t="s">
        <v>5</v>
      </c>
      <c r="D59" s="3" t="s">
        <v>6</v>
      </c>
      <c r="E59" s="3" t="s">
        <v>7</v>
      </c>
      <c r="F59" s="3" t="s">
        <v>8</v>
      </c>
      <c r="H59" s="3" t="s">
        <v>9</v>
      </c>
      <c r="I59" s="3" t="s">
        <v>10</v>
      </c>
      <c r="J59" s="3" t="s">
        <v>11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customFormat="false" ht="15" hidden="false" customHeight="false" outlineLevel="0" collapsed="false">
      <c r="A60" s="0" t="n">
        <v>13</v>
      </c>
      <c r="B60" s="0" t="s">
        <v>59</v>
      </c>
      <c r="C60" s="0" t="s">
        <v>60</v>
      </c>
      <c r="D60" s="4" t="n">
        <v>1</v>
      </c>
      <c r="E60" s="4" t="n">
        <v>1</v>
      </c>
      <c r="F60" s="5" t="s">
        <v>61</v>
      </c>
      <c r="H60" s="5" t="s">
        <v>60</v>
      </c>
      <c r="I60" s="5" t="n">
        <f aca="false">SUMPRODUCT(($C$60:$C$65=$H60)*($D$60:$D$65&lt;&gt;"")*($E$60:$E$65&lt;&gt;""))+SUMPRODUCT(($F$60:$F$65=$H60)*($D$60:$D$65&lt;&gt;"")*($E$60:$E$65&lt;&gt;""))</f>
        <v>3</v>
      </c>
      <c r="J60" s="5" t="n">
        <f aca="false">SUMPRODUCT(($C$60:$C$65=$H60)*($D$60:$D$65&lt;&gt;"")*($E$60:$E$65&lt;&gt;"")*($D$60:$D$65&gt;$E$60:$E$65))*3+SUMPRODUCT(($F$60:$F$65=$H60)*($D$60:$D$65&lt;&gt;"")*($E$60:$E$65&lt;&gt;"")*($E$60:$E$65&gt;$D$60:$D$65))*3+SUMPRODUCT((($C$60:$C$65=$H60)+($F$60:$F$65=$H60))*($D$60:$D$65&lt;&gt;"")*($E$60:$E$65&lt;&gt;"")*($D$60:$D$65=$E$60:$E$65))</f>
        <v>5</v>
      </c>
      <c r="K60" s="5" t="n">
        <f aca="false">SUMPRODUCT(($C$60:$C$65=$H60)*($D$60:$D$65&lt;&gt;"")*($E$60:$E$65&lt;&gt;"")*$D$60:$D$65)+SUMPRODUCT(($F$60:$F$65=$H60)*($D$60:$D$65&lt;&gt;"")*($E$60:$E$65&lt;&gt;"")*$E$60:$E$65)</f>
        <v>4</v>
      </c>
      <c r="L60" s="5" t="n">
        <f aca="false">SUMPRODUCT(($C$60:$C$65=$H60)*($D$60:$D$65&lt;&gt;"")*($E$60:$E$65&lt;&gt;"")*$E$60:$E$65)+SUMPRODUCT(($F$60:$F$65=$H60)*($D$60:$D$65&lt;&gt;"")*($E$60:$E$65&lt;&gt;"")*$D$60:$D$65)</f>
        <v>2</v>
      </c>
      <c r="M60" s="5" t="n">
        <f aca="false">K60-L60</f>
        <v>2</v>
      </c>
      <c r="N60" s="5" t="n">
        <f aca="false">J60*10000000+(M60+100)*10000+K60*10+(3-COUNTIF($H$60:$H$65,"&lt;"&amp;H60))</f>
        <v>51020043</v>
      </c>
      <c r="O60" s="5" t="n">
        <f aca="false">RANK(N60,$N$60:$N$65)</f>
        <v>1</v>
      </c>
      <c r="Q60" s="5" t="s">
        <v>20</v>
      </c>
      <c r="R60" s="0" t="str">
        <f aca="false">INDEX($H$60:$H$65,MATCH(1,$O$60:$O$65,0))</f>
        <v>Bélgica</v>
      </c>
    </row>
    <row r="61" customFormat="false" ht="15" hidden="false" customHeight="false" outlineLevel="0" collapsed="false">
      <c r="A61" s="0" t="n">
        <v>14</v>
      </c>
      <c r="B61" s="0" t="s">
        <v>59</v>
      </c>
      <c r="C61" s="0" t="s">
        <v>62</v>
      </c>
      <c r="D61" s="4" t="n">
        <v>2</v>
      </c>
      <c r="E61" s="4" t="n">
        <v>0</v>
      </c>
      <c r="F61" s="5" t="s">
        <v>63</v>
      </c>
      <c r="H61" s="5" t="s">
        <v>61</v>
      </c>
      <c r="I61" s="5" t="n">
        <f aca="false">SUMPRODUCT(($C$60:$C$65=$H61)*($D$60:$D$65&lt;&gt;"")*($E$60:$E$65&lt;&gt;""))+SUMPRODUCT(($F$60:$F$65=$H61)*($D$60:$D$65&lt;&gt;"")*($E$60:$E$65&lt;&gt;""))</f>
        <v>3</v>
      </c>
      <c r="J61" s="5" t="n">
        <f aca="false">SUMPRODUCT(($C$60:$C$65=$H61)*($D$60:$D$65&lt;&gt;"")*($E$60:$E$65&lt;&gt;"")*($D$60:$D$65&gt;$E$60:$E$65))*3+SUMPRODUCT(($F$60:$F$65=$H61)*($D$60:$D$65&lt;&gt;"")*($E$60:$E$65&lt;&gt;"")*($E$60:$E$65&gt;$D$60:$D$65))*3+SUMPRODUCT((($C$60:$C$65=$H61)+($F$60:$F$65=$H61))*($D$60:$D$65&lt;&gt;"")*($E$60:$E$65&lt;&gt;"")*($D$60:$D$65=$E$60:$E$65))</f>
        <v>5</v>
      </c>
      <c r="K61" s="5" t="n">
        <f aca="false">SUMPRODUCT(($C$60:$C$65=$H61)*($D$60:$D$65&lt;&gt;"")*($E$60:$E$65&lt;&gt;"")*$D$60:$D$65)+SUMPRODUCT(($F$60:$F$65=$H61)*($D$60:$D$65&lt;&gt;"")*($E$60:$E$65&lt;&gt;"")*$E$60:$E$65)</f>
        <v>3</v>
      </c>
      <c r="L61" s="5" t="n">
        <f aca="false">SUMPRODUCT(($C$60:$C$65=$H61)*($D$60:$D$65&lt;&gt;"")*($E$60:$E$65&lt;&gt;"")*$E$60:$E$65)+SUMPRODUCT(($F$60:$F$65=$H61)*($D$60:$D$65&lt;&gt;"")*($E$60:$E$65&lt;&gt;"")*$D$60:$D$65)</f>
        <v>2</v>
      </c>
      <c r="M61" s="5" t="n">
        <f aca="false">K61-L61</f>
        <v>1</v>
      </c>
      <c r="N61" s="5" t="n">
        <f aca="false">J61*10000000+(M61+100)*10000+K61*10+(3-COUNTIF($H$60:$H$65,"&lt;"&amp;H61))</f>
        <v>51010032</v>
      </c>
      <c r="O61" s="5" t="n">
        <f aca="false">RANK(N61,$N$60:$N$65)</f>
        <v>3</v>
      </c>
      <c r="Q61" s="5" t="s">
        <v>23</v>
      </c>
      <c r="R61" s="0" t="str">
        <f aca="false">INDEX($H$60:$H$65,MATCH(2,$O$60:$O$65,0))</f>
        <v>Irán</v>
      </c>
    </row>
    <row r="62" customFormat="false" ht="15" hidden="false" customHeight="false" outlineLevel="0" collapsed="false">
      <c r="A62" s="0" t="n">
        <v>37</v>
      </c>
      <c r="B62" s="0" t="s">
        <v>64</v>
      </c>
      <c r="C62" s="0" t="s">
        <v>60</v>
      </c>
      <c r="D62" s="4" t="n">
        <v>1</v>
      </c>
      <c r="E62" s="4" t="n">
        <v>1</v>
      </c>
      <c r="F62" s="5" t="s">
        <v>62</v>
      </c>
      <c r="H62" s="5" t="s">
        <v>62</v>
      </c>
      <c r="I62" s="5" t="n">
        <f aca="false">SUMPRODUCT(($C$60:$C$65=$H62)*($D$60:$D$65&lt;&gt;"")*($E$60:$E$65&lt;&gt;""))+SUMPRODUCT(($F$60:$F$65=$H62)*($D$60:$D$65&lt;&gt;"")*($E$60:$E$65&lt;&gt;""))</f>
        <v>3</v>
      </c>
      <c r="J62" s="5" t="n">
        <f aca="false">SUMPRODUCT(($C$60:$C$65=$H62)*($D$60:$D$65&lt;&gt;"")*($E$60:$E$65&lt;&gt;"")*($D$60:$D$65&gt;$E$60:$E$65))*3+SUMPRODUCT(($F$60:$F$65=$H62)*($D$60:$D$65&lt;&gt;"")*($E$60:$E$65&lt;&gt;"")*($E$60:$E$65&gt;$D$60:$D$65))*3+SUMPRODUCT((($C$60:$C$65=$H62)+($F$60:$F$65=$H62))*($D$60:$D$65&lt;&gt;"")*($E$60:$E$65&lt;&gt;"")*($D$60:$D$65=$E$60:$E$65))</f>
        <v>5</v>
      </c>
      <c r="K62" s="5" t="n">
        <f aca="false">SUMPRODUCT(($C$60:$C$65=$H62)*($D$60:$D$65&lt;&gt;"")*($E$60:$E$65&lt;&gt;"")*$D$60:$D$65)+SUMPRODUCT(($F$60:$F$65=$H62)*($D$60:$D$65&lt;&gt;"")*($E$60:$E$65&lt;&gt;"")*$E$60:$E$65)</f>
        <v>4</v>
      </c>
      <c r="L62" s="5" t="n">
        <f aca="false">SUMPRODUCT(($C$60:$C$65=$H62)*($D$60:$D$65&lt;&gt;"")*($E$60:$E$65&lt;&gt;"")*$E$60:$E$65)+SUMPRODUCT(($F$60:$F$65=$H62)*($D$60:$D$65&lt;&gt;"")*($E$60:$E$65&lt;&gt;"")*$D$60:$D$65)</f>
        <v>2</v>
      </c>
      <c r="M62" s="5" t="n">
        <f aca="false">K62-L62</f>
        <v>2</v>
      </c>
      <c r="N62" s="5" t="n">
        <f aca="false">J62*10000000+(M62+100)*10000+K62*10+(3-COUNTIF($H$60:$H$65,"&lt;"&amp;H62))</f>
        <v>51020041</v>
      </c>
      <c r="O62" s="5" t="n">
        <f aca="false">RANK(N62,$N$60:$N$65)</f>
        <v>2</v>
      </c>
      <c r="Q62" s="5" t="s">
        <v>25</v>
      </c>
      <c r="R62" s="0" t="str">
        <f aca="false">INDEX($H$60:$H$65,MATCH(3,$O$60:$O$65,0))</f>
        <v>Egipto</v>
      </c>
    </row>
    <row r="63" customFormat="false" ht="15" hidden="false" customHeight="false" outlineLevel="0" collapsed="false">
      <c r="A63" s="0" t="n">
        <v>38</v>
      </c>
      <c r="B63" s="0" t="s">
        <v>64</v>
      </c>
      <c r="C63" s="0" t="s">
        <v>63</v>
      </c>
      <c r="D63" s="4" t="n">
        <v>0</v>
      </c>
      <c r="E63" s="4" t="n">
        <v>1</v>
      </c>
      <c r="F63" s="5" t="s">
        <v>61</v>
      </c>
      <c r="H63" s="5" t="s">
        <v>63</v>
      </c>
      <c r="I63" s="5" t="n">
        <f aca="false">SUMPRODUCT(($C$60:$C$65=$H63)*($D$60:$D$65&lt;&gt;"")*($E$60:$E$65&lt;&gt;""))+SUMPRODUCT(($F$60:$F$65=$H63)*($D$60:$D$65&lt;&gt;"")*($E$60:$E$65&lt;&gt;""))</f>
        <v>3</v>
      </c>
      <c r="J63" s="5" t="n">
        <f aca="false">SUMPRODUCT(($C$60:$C$65=$H63)*($D$60:$D$65&lt;&gt;"")*($E$60:$E$65&lt;&gt;"")*($D$60:$D$65&gt;$E$60:$E$65))*3+SUMPRODUCT(($F$60:$F$65=$H63)*($D$60:$D$65&lt;&gt;"")*($E$60:$E$65&lt;&gt;"")*($E$60:$E$65&gt;$D$60:$D$65))*3+SUMPRODUCT((($C$60:$C$65=$H63)+($F$60:$F$65=$H63))*($D$60:$D$65&lt;&gt;"")*($E$60:$E$65&lt;&gt;"")*($D$60:$D$65=$E$60:$E$65))</f>
        <v>0</v>
      </c>
      <c r="K63" s="5" t="n">
        <f aca="false">SUMPRODUCT(($C$60:$C$65=$H63)*($D$60:$D$65&lt;&gt;"")*($E$60:$E$65&lt;&gt;"")*$D$60:$D$65)+SUMPRODUCT(($F$60:$F$65=$H63)*($D$60:$D$65&lt;&gt;"")*($E$60:$E$65&lt;&gt;"")*$E$60:$E$65)</f>
        <v>0</v>
      </c>
      <c r="L63" s="5" t="n">
        <f aca="false">SUMPRODUCT(($C$60:$C$65=$H63)*($D$60:$D$65&lt;&gt;"")*($E$60:$E$65&lt;&gt;"")*$E$60:$E$65)+SUMPRODUCT(($F$60:$F$65=$H63)*($D$60:$D$65&lt;&gt;"")*($E$60:$E$65&lt;&gt;"")*$D$60:$D$65)</f>
        <v>5</v>
      </c>
      <c r="M63" s="5" t="n">
        <f aca="false">K63-L63</f>
        <v>-5</v>
      </c>
      <c r="N63" s="5" t="n">
        <f aca="false">J63*10000000+(M63+100)*10000+K63*10+(3-COUNTIF($H$60:$H$65,"&lt;"&amp;H63))</f>
        <v>950000</v>
      </c>
      <c r="O63" s="5" t="n">
        <f aca="false">RANK(N63,$N$60:$N$65)</f>
        <v>4</v>
      </c>
    </row>
    <row r="64" customFormat="false" ht="15" hidden="false" customHeight="false" outlineLevel="0" collapsed="false">
      <c r="A64" s="0" t="n">
        <v>61</v>
      </c>
      <c r="B64" s="0" t="s">
        <v>65</v>
      </c>
      <c r="C64" s="0" t="s">
        <v>61</v>
      </c>
      <c r="D64" s="4" t="n">
        <v>1</v>
      </c>
      <c r="E64" s="4" t="n">
        <v>1</v>
      </c>
      <c r="F64" s="5" t="s">
        <v>62</v>
      </c>
    </row>
    <row r="65" customFormat="false" ht="15" hidden="false" customHeight="false" outlineLevel="0" collapsed="false">
      <c r="A65" s="0" t="n">
        <v>62</v>
      </c>
      <c r="B65" s="0" t="s">
        <v>65</v>
      </c>
      <c r="C65" s="0" t="s">
        <v>63</v>
      </c>
      <c r="D65" s="4" t="n">
        <v>0</v>
      </c>
      <c r="E65" s="4" t="n">
        <v>2</v>
      </c>
      <c r="F65" s="5" t="s">
        <v>60</v>
      </c>
    </row>
    <row r="67" customFormat="false" ht="15" hidden="false" customHeight="false" outlineLevel="0" collapsed="false">
      <c r="A67" s="2" t="s">
        <v>66</v>
      </c>
    </row>
    <row r="68" customFormat="false" ht="15" hidden="false" customHeight="false" outlineLevel="0" collapsed="false">
      <c r="A68" s="3" t="s">
        <v>3</v>
      </c>
      <c r="B68" s="3" t="s">
        <v>4</v>
      </c>
      <c r="C68" s="3" t="s">
        <v>5</v>
      </c>
      <c r="D68" s="3" t="s">
        <v>6</v>
      </c>
      <c r="E68" s="3" t="s">
        <v>7</v>
      </c>
      <c r="F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customFormat="false" ht="15" hidden="false" customHeight="false" outlineLevel="0" collapsed="false">
      <c r="A69" s="0" t="n">
        <v>15</v>
      </c>
      <c r="B69" s="0" t="s">
        <v>59</v>
      </c>
      <c r="C69" s="0" t="s">
        <v>67</v>
      </c>
      <c r="D69" s="4" t="n">
        <v>2</v>
      </c>
      <c r="E69" s="4" t="n">
        <v>0</v>
      </c>
      <c r="F69" s="5" t="s">
        <v>68</v>
      </c>
      <c r="H69" s="5" t="s">
        <v>67</v>
      </c>
      <c r="I69" s="5" t="n">
        <f aca="false">SUMPRODUCT(($C$69:$C$74=$H69)*($D$69:$D$74&lt;&gt;"")*($E$69:$E$74&lt;&gt;""))+SUMPRODUCT(($F$69:$F$74=$H69)*($D$69:$D$74&lt;&gt;"")*($E$69:$E$74&lt;&gt;""))</f>
        <v>3</v>
      </c>
      <c r="J69" s="5" t="n">
        <f aca="false">SUMPRODUCT(($C$69:$C$74=$H69)*($D$69:$D$74&lt;&gt;"")*($E$69:$E$74&lt;&gt;"")*($D$69:$D$74&gt;$E$69:$E$74))*3+SUMPRODUCT(($F$69:$F$74=$H69)*($D$69:$D$74&lt;&gt;"")*($E$69:$E$74&lt;&gt;"")*($E$69:$E$74&gt;$D$69:$D$74))*3+SUMPRODUCT((($C$69:$C$74=$H69)+($F$69:$F$74=$H69))*($D$69:$D$74&lt;&gt;"")*($E$69:$E$74&lt;&gt;"")*($D$69:$D$74=$E$69:$E$74))</f>
        <v>9</v>
      </c>
      <c r="K69" s="5" t="n">
        <f aca="false">SUMPRODUCT(($C$69:$C$74=$H69)*($D$69:$D$74&lt;&gt;"")*($E$69:$E$74&lt;&gt;"")*$D$69:$D$74)+SUMPRODUCT(($F$69:$F$74=$H69)*($D$69:$D$74&lt;&gt;"")*($E$69:$E$74&lt;&gt;"")*$E$69:$E$74)</f>
        <v>6</v>
      </c>
      <c r="L69" s="5" t="n">
        <f aca="false">SUMPRODUCT(($C$69:$C$74=$H69)*($D$69:$D$74&lt;&gt;"")*($E$69:$E$74&lt;&gt;"")*$E$69:$E$74)+SUMPRODUCT(($F$69:$F$74=$H69)*($D$69:$D$74&lt;&gt;"")*($E$69:$E$74&lt;&gt;"")*$D$69:$D$74)</f>
        <v>0</v>
      </c>
      <c r="M69" s="5" t="n">
        <f aca="false">K69-L69</f>
        <v>6</v>
      </c>
      <c r="N69" s="5" t="n">
        <f aca="false">J69*10000000+(M69+100)*10000+K69*10+(3-COUNTIF($H$69:$H$74,"&lt;"&amp;H69))</f>
        <v>91060061</v>
      </c>
      <c r="O69" s="5" t="n">
        <f aca="false">RANK(N69,$N$69:$N$74)</f>
        <v>1</v>
      </c>
      <c r="Q69" s="5" t="s">
        <v>20</v>
      </c>
      <c r="R69" s="0" t="str">
        <f aca="false">INDEX($H$69:$H$74,MATCH(1,$O$69:$O$74,0))</f>
        <v>España</v>
      </c>
    </row>
    <row r="70" customFormat="false" ht="15" hidden="false" customHeight="false" outlineLevel="0" collapsed="false">
      <c r="A70" s="0" t="n">
        <v>16</v>
      </c>
      <c r="B70" s="0" t="s">
        <v>59</v>
      </c>
      <c r="C70" s="0" t="s">
        <v>69</v>
      </c>
      <c r="D70" s="4" t="n">
        <v>0</v>
      </c>
      <c r="E70" s="4" t="n">
        <v>1</v>
      </c>
      <c r="F70" s="5" t="s">
        <v>70</v>
      </c>
      <c r="H70" s="5" t="s">
        <v>68</v>
      </c>
      <c r="I70" s="5" t="n">
        <f aca="false">SUMPRODUCT(($C$69:$C$74=$H70)*($D$69:$D$74&lt;&gt;"")*($E$69:$E$74&lt;&gt;""))+SUMPRODUCT(($F$69:$F$74=$H70)*($D$69:$D$74&lt;&gt;"")*($E$69:$E$74&lt;&gt;""))</f>
        <v>3</v>
      </c>
      <c r="J70" s="5" t="n">
        <f aca="false">SUMPRODUCT(($C$69:$C$74=$H70)*($D$69:$D$74&lt;&gt;"")*($E$69:$E$74&lt;&gt;"")*($D$69:$D$74&gt;$E$69:$E$74))*3+SUMPRODUCT(($F$69:$F$74=$H70)*($D$69:$D$74&lt;&gt;"")*($E$69:$E$74&lt;&gt;"")*($E$69:$E$74&gt;$D$69:$D$74))*3+SUMPRODUCT((($C$69:$C$74=$H70)+($F$69:$F$74=$H70))*($D$69:$D$74&lt;&gt;"")*($E$69:$E$74&lt;&gt;"")*($D$69:$D$74=$E$69:$E$74))</f>
        <v>1</v>
      </c>
      <c r="K70" s="5" t="n">
        <f aca="false">SUMPRODUCT(($C$69:$C$74=$H70)*($D$69:$D$74&lt;&gt;"")*($E$69:$E$74&lt;&gt;"")*$D$69:$D$74)+SUMPRODUCT(($F$69:$F$74=$H70)*($D$69:$D$74&lt;&gt;"")*($E$69:$E$74&lt;&gt;"")*$E$69:$E$74)</f>
        <v>1</v>
      </c>
      <c r="L70" s="5" t="n">
        <f aca="false">SUMPRODUCT(($C$69:$C$74=$H70)*($D$69:$D$74&lt;&gt;"")*($E$69:$E$74&lt;&gt;"")*$E$69:$E$74)+SUMPRODUCT(($F$69:$F$74=$H70)*($D$69:$D$74&lt;&gt;"")*($E$69:$E$74&lt;&gt;"")*$D$69:$D$74)</f>
        <v>4</v>
      </c>
      <c r="M70" s="5" t="n">
        <f aca="false">K70-L70</f>
        <v>-3</v>
      </c>
      <c r="N70" s="5" t="n">
        <f aca="false">J70*10000000+(M70+100)*10000+K70*10+(3-COUNTIF($H$69:$H$74,"&lt;"&amp;H70))</f>
        <v>10970012</v>
      </c>
      <c r="O70" s="5" t="n">
        <f aca="false">RANK(N70,$N$69:$N$74)</f>
        <v>4</v>
      </c>
      <c r="Q70" s="5" t="s">
        <v>23</v>
      </c>
      <c r="R70" s="0" t="str">
        <f aca="false">INDEX($H$69:$H$74,MATCH(2,$O$69:$O$74,0))</f>
        <v>Uruguay</v>
      </c>
    </row>
    <row r="71" customFormat="false" ht="15" hidden="false" customHeight="false" outlineLevel="0" collapsed="false">
      <c r="A71" s="0" t="n">
        <v>39</v>
      </c>
      <c r="B71" s="0" t="s">
        <v>64</v>
      </c>
      <c r="C71" s="0" t="s">
        <v>67</v>
      </c>
      <c r="D71" s="4" t="n">
        <v>2</v>
      </c>
      <c r="E71" s="4" t="n">
        <v>0</v>
      </c>
      <c r="F71" s="5" t="s">
        <v>69</v>
      </c>
      <c r="H71" s="5" t="s">
        <v>69</v>
      </c>
      <c r="I71" s="5" t="n">
        <f aca="false">SUMPRODUCT(($C$69:$C$74=$H71)*($D$69:$D$74&lt;&gt;"")*($E$69:$E$74&lt;&gt;""))+SUMPRODUCT(($F$69:$F$74=$H71)*($D$69:$D$74&lt;&gt;"")*($E$69:$E$74&lt;&gt;""))</f>
        <v>3</v>
      </c>
      <c r="J71" s="5" t="n">
        <f aca="false">SUMPRODUCT(($C$69:$C$74=$H71)*($D$69:$D$74&lt;&gt;"")*($E$69:$E$74&lt;&gt;"")*($D$69:$D$74&gt;$E$69:$E$74))*3+SUMPRODUCT(($F$69:$F$74=$H71)*($D$69:$D$74&lt;&gt;"")*($E$69:$E$74&lt;&gt;"")*($E$69:$E$74&gt;$D$69:$D$74))*3+SUMPRODUCT((($C$69:$C$74=$H71)+($F$69:$F$74=$H71))*($D$69:$D$74&lt;&gt;"")*($E$69:$E$74&lt;&gt;"")*($D$69:$D$74=$E$69:$E$74))</f>
        <v>1</v>
      </c>
      <c r="K71" s="5" t="n">
        <f aca="false">SUMPRODUCT(($C$69:$C$74=$H71)*($D$69:$D$74&lt;&gt;"")*($E$69:$E$74&lt;&gt;"")*$D$69:$D$74)+SUMPRODUCT(($F$69:$F$74=$H71)*($D$69:$D$74&lt;&gt;"")*($E$69:$E$74&lt;&gt;"")*$E$69:$E$74)</f>
        <v>1</v>
      </c>
      <c r="L71" s="5" t="n">
        <f aca="false">SUMPRODUCT(($C$69:$C$74=$H71)*($D$69:$D$74&lt;&gt;"")*($E$69:$E$74&lt;&gt;"")*$E$69:$E$74)+SUMPRODUCT(($F$69:$F$74=$H71)*($D$69:$D$74&lt;&gt;"")*($E$69:$E$74&lt;&gt;"")*$D$69:$D$74)</f>
        <v>4</v>
      </c>
      <c r="M71" s="5" t="n">
        <f aca="false">K71-L71</f>
        <v>-3</v>
      </c>
      <c r="N71" s="5" t="n">
        <f aca="false">J71*10000000+(M71+100)*10000+K71*10+(3-COUNTIF($H$69:$H$74,"&lt;"&amp;H71))</f>
        <v>10970013</v>
      </c>
      <c r="O71" s="5" t="n">
        <f aca="false">RANK(N71,$N$69:$N$74)</f>
        <v>3</v>
      </c>
      <c r="Q71" s="5" t="s">
        <v>25</v>
      </c>
      <c r="R71" s="0" t="str">
        <f aca="false">INDEX($H$69:$H$74,MATCH(3,$O$69:$O$74,0))</f>
        <v>Arabia Saudita</v>
      </c>
    </row>
    <row r="72" customFormat="false" ht="15" hidden="false" customHeight="false" outlineLevel="0" collapsed="false">
      <c r="A72" s="0" t="n">
        <v>40</v>
      </c>
      <c r="B72" s="0" t="s">
        <v>64</v>
      </c>
      <c r="C72" s="0" t="s">
        <v>70</v>
      </c>
      <c r="D72" s="4" t="n">
        <v>1</v>
      </c>
      <c r="E72" s="4" t="n">
        <v>0</v>
      </c>
      <c r="F72" s="5" t="s">
        <v>68</v>
      </c>
      <c r="H72" s="5" t="s">
        <v>70</v>
      </c>
      <c r="I72" s="5" t="n">
        <f aca="false">SUMPRODUCT(($C$69:$C$74=$H72)*($D$69:$D$74&lt;&gt;"")*($E$69:$E$74&lt;&gt;""))+SUMPRODUCT(($F$69:$F$74=$H72)*($D$69:$D$74&lt;&gt;"")*($E$69:$E$74&lt;&gt;""))</f>
        <v>3</v>
      </c>
      <c r="J72" s="5" t="n">
        <f aca="false">SUMPRODUCT(($C$69:$C$74=$H72)*($D$69:$D$74&lt;&gt;"")*($E$69:$E$74&lt;&gt;"")*($D$69:$D$74&gt;$E$69:$E$74))*3+SUMPRODUCT(($F$69:$F$74=$H72)*($D$69:$D$74&lt;&gt;"")*($E$69:$E$74&lt;&gt;"")*($E$69:$E$74&gt;$D$69:$D$74))*3+SUMPRODUCT((($C$69:$C$74=$H72)+($F$69:$F$74=$H72))*($D$69:$D$74&lt;&gt;"")*($E$69:$E$74&lt;&gt;"")*($D$69:$D$74=$E$69:$E$74))</f>
        <v>6</v>
      </c>
      <c r="K72" s="5" t="n">
        <f aca="false">SUMPRODUCT(($C$69:$C$74=$H72)*($D$69:$D$74&lt;&gt;"")*($E$69:$E$74&lt;&gt;"")*$D$69:$D$74)+SUMPRODUCT(($F$69:$F$74=$H72)*($D$69:$D$74&lt;&gt;"")*($E$69:$E$74&lt;&gt;"")*$E$69:$E$74)</f>
        <v>2</v>
      </c>
      <c r="L72" s="5" t="n">
        <f aca="false">SUMPRODUCT(($C$69:$C$74=$H72)*($D$69:$D$74&lt;&gt;"")*($E$69:$E$74&lt;&gt;"")*$E$69:$E$74)+SUMPRODUCT(($F$69:$F$74=$H72)*($D$69:$D$74&lt;&gt;"")*($E$69:$E$74&lt;&gt;"")*$D$69:$D$74)</f>
        <v>2</v>
      </c>
      <c r="M72" s="5" t="n">
        <f aca="false">K72-L72</f>
        <v>0</v>
      </c>
      <c r="N72" s="5" t="n">
        <f aca="false">J72*10000000+(M72+100)*10000+K72*10+(3-COUNTIF($H$69:$H$74,"&lt;"&amp;H72))</f>
        <v>61000020</v>
      </c>
      <c r="O72" s="5" t="n">
        <f aca="false">RANK(N72,$N$69:$N$74)</f>
        <v>2</v>
      </c>
    </row>
    <row r="73" customFormat="false" ht="15" hidden="false" customHeight="false" outlineLevel="0" collapsed="false">
      <c r="A73" s="0" t="n">
        <v>63</v>
      </c>
      <c r="B73" s="0" t="s">
        <v>65</v>
      </c>
      <c r="C73" s="0" t="s">
        <v>68</v>
      </c>
      <c r="D73" s="4" t="n">
        <v>1</v>
      </c>
      <c r="E73" s="4" t="n">
        <v>1</v>
      </c>
      <c r="F73" s="5" t="s">
        <v>69</v>
      </c>
    </row>
    <row r="74" customFormat="false" ht="15" hidden="false" customHeight="false" outlineLevel="0" collapsed="false">
      <c r="A74" s="0" t="n">
        <v>64</v>
      </c>
      <c r="B74" s="0" t="s">
        <v>65</v>
      </c>
      <c r="C74" s="0" t="s">
        <v>70</v>
      </c>
      <c r="D74" s="4" t="n">
        <v>0</v>
      </c>
      <c r="E74" s="4" t="n">
        <v>2</v>
      </c>
      <c r="F74" s="5" t="s">
        <v>67</v>
      </c>
    </row>
    <row r="76" customFormat="false" ht="15" hidden="false" customHeight="false" outlineLevel="0" collapsed="false">
      <c r="A76" s="2" t="s">
        <v>71</v>
      </c>
    </row>
    <row r="77" customFormat="false" ht="15" hidden="false" customHeight="false" outlineLevel="0" collapsed="false">
      <c r="A77" s="3" t="s">
        <v>3</v>
      </c>
      <c r="B77" s="3" t="s">
        <v>4</v>
      </c>
      <c r="C77" s="3" t="s">
        <v>5</v>
      </c>
      <c r="D77" s="3" t="s">
        <v>6</v>
      </c>
      <c r="E77" s="3" t="s">
        <v>7</v>
      </c>
      <c r="F77" s="3" t="s">
        <v>8</v>
      </c>
      <c r="H77" s="3" t="s">
        <v>9</v>
      </c>
      <c r="I77" s="3" t="s">
        <v>10</v>
      </c>
      <c r="J77" s="3" t="s">
        <v>11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customFormat="false" ht="15" hidden="false" customHeight="false" outlineLevel="0" collapsed="false">
      <c r="A78" s="0" t="n">
        <v>17</v>
      </c>
      <c r="B78" s="0" t="s">
        <v>72</v>
      </c>
      <c r="C78" s="0" t="s">
        <v>73</v>
      </c>
      <c r="D78" s="4" t="n">
        <v>2</v>
      </c>
      <c r="E78" s="4" t="n">
        <v>0</v>
      </c>
      <c r="F78" s="5" t="s">
        <v>74</v>
      </c>
      <c r="H78" s="5" t="s">
        <v>73</v>
      </c>
      <c r="I78" s="5" t="n">
        <f aca="false">SUMPRODUCT(($C$78:$C$83=$H78)*($D$78:$D$83&lt;&gt;"")*($E$78:$E$83&lt;&gt;""))+SUMPRODUCT(($F$78:$F$83=$H78)*($D$78:$D$83&lt;&gt;"")*($E$78:$E$83&lt;&gt;""))</f>
        <v>3</v>
      </c>
      <c r="J78" s="5" t="n">
        <f aca="false">SUMPRODUCT(($C$78:$C$83=$H78)*($D$78:$D$83&lt;&gt;"")*($E$78:$E$83&lt;&gt;"")*($D$78:$D$83&gt;$E$78:$E$83))*3+SUMPRODUCT(($F$78:$F$83=$H78)*($D$78:$D$83&lt;&gt;"")*($E$78:$E$83&lt;&gt;"")*($E$78:$E$83&gt;$D$78:$D$83))*3+SUMPRODUCT((($C$78:$C$83=$H78)+($F$78:$F$83=$H78))*($D$78:$D$83&lt;&gt;"")*($E$78:$E$83&lt;&gt;"")*($D$78:$D$83=$E$78:$E$83))</f>
        <v>9</v>
      </c>
      <c r="K78" s="5" t="n">
        <f aca="false">SUMPRODUCT(($C$78:$C$83=$H78)*($D$78:$D$83&lt;&gt;"")*($E$78:$E$83&lt;&gt;"")*$D$78:$D$83)+SUMPRODUCT(($F$78:$F$83=$H78)*($D$78:$D$83&lt;&gt;"")*($E$78:$E$83&lt;&gt;"")*$E$78:$E$83)</f>
        <v>5</v>
      </c>
      <c r="L78" s="5" t="n">
        <f aca="false">SUMPRODUCT(($C$78:$C$83=$H78)*($D$78:$D$83&lt;&gt;"")*($E$78:$E$83&lt;&gt;"")*$E$78:$E$83)+SUMPRODUCT(($F$78:$F$83=$H78)*($D$78:$D$83&lt;&gt;"")*($E$78:$E$83&lt;&gt;"")*$D$78:$D$83)</f>
        <v>0</v>
      </c>
      <c r="M78" s="5" t="n">
        <f aca="false">K78-L78</f>
        <v>5</v>
      </c>
      <c r="N78" s="5" t="n">
        <f aca="false">J78*10000000+(M78+100)*10000+K78*10+(3-COUNTIF($H$78:$H$83,"&lt;"&amp;H78))</f>
        <v>91050053</v>
      </c>
      <c r="O78" s="5" t="n">
        <f aca="false">RANK(N78,$N$78:$N$83)</f>
        <v>1</v>
      </c>
      <c r="Q78" s="5" t="s">
        <v>20</v>
      </c>
      <c r="R78" s="0" t="str">
        <f aca="false">INDEX($H$78:$H$83,MATCH(1,$O$78:$O$83,0))</f>
        <v>Francia</v>
      </c>
    </row>
    <row r="79" customFormat="false" ht="15" hidden="false" customHeight="false" outlineLevel="0" collapsed="false">
      <c r="A79" s="0" t="n">
        <v>18</v>
      </c>
      <c r="B79" s="0" t="s">
        <v>72</v>
      </c>
      <c r="C79" s="0" t="s">
        <v>75</v>
      </c>
      <c r="D79" s="4" t="n">
        <v>0</v>
      </c>
      <c r="E79" s="4" t="n">
        <v>2</v>
      </c>
      <c r="F79" s="5" t="s">
        <v>76</v>
      </c>
      <c r="H79" s="5" t="s">
        <v>74</v>
      </c>
      <c r="I79" s="5" t="n">
        <f aca="false">SUMPRODUCT(($C$78:$C$83=$H79)*($D$78:$D$83&lt;&gt;"")*($E$78:$E$83&lt;&gt;""))+SUMPRODUCT(($F$78:$F$83=$H79)*($D$78:$D$83&lt;&gt;"")*($E$78:$E$83&lt;&gt;""))</f>
        <v>3</v>
      </c>
      <c r="J79" s="5" t="n">
        <f aca="false">SUMPRODUCT(($C$78:$C$83=$H79)*($D$78:$D$83&lt;&gt;"")*($E$78:$E$83&lt;&gt;"")*($D$78:$D$83&gt;$E$78:$E$83))*3+SUMPRODUCT(($F$78:$F$83=$H79)*($D$78:$D$83&lt;&gt;"")*($E$78:$E$83&lt;&gt;"")*($E$78:$E$83&gt;$D$78:$D$83))*3+SUMPRODUCT((($C$78:$C$83=$H79)+($F$78:$F$83=$H79))*($D$78:$D$83&lt;&gt;"")*($E$78:$E$83&lt;&gt;"")*($D$78:$D$83=$E$78:$E$83))</f>
        <v>1</v>
      </c>
      <c r="K79" s="5" t="n">
        <f aca="false">SUMPRODUCT(($C$78:$C$83=$H79)*($D$78:$D$83&lt;&gt;"")*($E$78:$E$83&lt;&gt;"")*$D$78:$D$83)+SUMPRODUCT(($F$78:$F$83=$H79)*($D$78:$D$83&lt;&gt;"")*($E$78:$E$83&lt;&gt;"")*$E$78:$E$83)</f>
        <v>1</v>
      </c>
      <c r="L79" s="5" t="n">
        <f aca="false">SUMPRODUCT(($C$78:$C$83=$H79)*($D$78:$D$83&lt;&gt;"")*($E$78:$E$83&lt;&gt;"")*$E$78:$E$83)+SUMPRODUCT(($F$78:$F$83=$H79)*($D$78:$D$83&lt;&gt;"")*($E$78:$E$83&lt;&gt;"")*$D$78:$D$83)</f>
        <v>4</v>
      </c>
      <c r="M79" s="5" t="n">
        <f aca="false">K79-L79</f>
        <v>-3</v>
      </c>
      <c r="N79" s="5" t="n">
        <f aca="false">J79*10000000+(M79+100)*10000+K79*10+(3-COUNTIF($H$78:$H$83,"&lt;"&amp;H79))</f>
        <v>10970010</v>
      </c>
      <c r="O79" s="5" t="n">
        <f aca="false">RANK(N79,$N$78:$N$83)</f>
        <v>3</v>
      </c>
      <c r="Q79" s="5" t="s">
        <v>23</v>
      </c>
      <c r="R79" s="0" t="str">
        <f aca="false">INDEX($H$78:$H$83,MATCH(2,$O$78:$O$83,0))</f>
        <v>Noruega</v>
      </c>
    </row>
    <row r="80" customFormat="false" ht="15" hidden="false" customHeight="false" outlineLevel="0" collapsed="false">
      <c r="A80" s="0" t="n">
        <v>41</v>
      </c>
      <c r="B80" s="0" t="s">
        <v>77</v>
      </c>
      <c r="C80" s="0" t="s">
        <v>73</v>
      </c>
      <c r="D80" s="4" t="n">
        <v>2</v>
      </c>
      <c r="E80" s="4" t="n">
        <v>0</v>
      </c>
      <c r="F80" s="5" t="s">
        <v>75</v>
      </c>
      <c r="H80" s="5" t="s">
        <v>75</v>
      </c>
      <c r="I80" s="5" t="n">
        <f aca="false">SUMPRODUCT(($C$78:$C$83=$H80)*($D$78:$D$83&lt;&gt;"")*($E$78:$E$83&lt;&gt;""))+SUMPRODUCT(($F$78:$F$83=$H80)*($D$78:$D$83&lt;&gt;"")*($E$78:$E$83&lt;&gt;""))</f>
        <v>3</v>
      </c>
      <c r="J80" s="5" t="n">
        <f aca="false">SUMPRODUCT(($C$78:$C$83=$H80)*($D$78:$D$83&lt;&gt;"")*($E$78:$E$83&lt;&gt;"")*($D$78:$D$83&gt;$E$78:$E$83))*3+SUMPRODUCT(($F$78:$F$83=$H80)*($D$78:$D$83&lt;&gt;"")*($E$78:$E$83&lt;&gt;"")*($E$78:$E$83&gt;$D$78:$D$83))*3+SUMPRODUCT((($C$78:$C$83=$H80)+($F$78:$F$83=$H80))*($D$78:$D$83&lt;&gt;"")*($E$78:$E$83&lt;&gt;"")*($D$78:$D$83=$E$78:$E$83))</f>
        <v>1</v>
      </c>
      <c r="K80" s="5" t="n">
        <f aca="false">SUMPRODUCT(($C$78:$C$83=$H80)*($D$78:$D$83&lt;&gt;"")*($E$78:$E$83&lt;&gt;"")*$D$78:$D$83)+SUMPRODUCT(($F$78:$F$83=$H80)*($D$78:$D$83&lt;&gt;"")*($E$78:$E$83&lt;&gt;"")*$E$78:$E$83)</f>
        <v>1</v>
      </c>
      <c r="L80" s="5" t="n">
        <f aca="false">SUMPRODUCT(($C$78:$C$83=$H80)*($D$78:$D$83&lt;&gt;"")*($E$78:$E$83&lt;&gt;"")*$E$78:$E$83)+SUMPRODUCT(($F$78:$F$83=$H80)*($D$78:$D$83&lt;&gt;"")*($E$78:$E$83&lt;&gt;"")*$D$78:$D$83)</f>
        <v>5</v>
      </c>
      <c r="M80" s="5" t="n">
        <f aca="false">K80-L80</f>
        <v>-4</v>
      </c>
      <c r="N80" s="5" t="n">
        <f aca="false">J80*10000000+(M80+100)*10000+K80*10+(3-COUNTIF($H$78:$H$83,"&lt;"&amp;H80))</f>
        <v>10960012</v>
      </c>
      <c r="O80" s="5" t="n">
        <f aca="false">RANK(N80,$N$78:$N$83)</f>
        <v>4</v>
      </c>
      <c r="Q80" s="5" t="s">
        <v>25</v>
      </c>
      <c r="R80" s="0" t="str">
        <f aca="false">INDEX($H$78:$H$83,MATCH(3,$O$78:$O$83,0))</f>
        <v>Senegal</v>
      </c>
    </row>
    <row r="81" customFormat="false" ht="15" hidden="false" customHeight="false" outlineLevel="0" collapsed="false">
      <c r="A81" s="0" t="n">
        <v>42</v>
      </c>
      <c r="B81" s="0" t="s">
        <v>77</v>
      </c>
      <c r="C81" s="0" t="s">
        <v>76</v>
      </c>
      <c r="D81" s="4" t="n">
        <v>1</v>
      </c>
      <c r="E81" s="4" t="n">
        <v>0</v>
      </c>
      <c r="F81" s="5" t="s">
        <v>74</v>
      </c>
      <c r="H81" s="5" t="s">
        <v>76</v>
      </c>
      <c r="I81" s="5" t="n">
        <f aca="false">SUMPRODUCT(($C$78:$C$83=$H81)*($D$78:$D$83&lt;&gt;"")*($E$78:$E$83&lt;&gt;""))+SUMPRODUCT(($F$78:$F$83=$H81)*($D$78:$D$83&lt;&gt;"")*($E$78:$E$83&lt;&gt;""))</f>
        <v>3</v>
      </c>
      <c r="J81" s="5" t="n">
        <f aca="false">SUMPRODUCT(($C$78:$C$83=$H81)*($D$78:$D$83&lt;&gt;"")*($E$78:$E$83&lt;&gt;"")*($D$78:$D$83&gt;$E$78:$E$83))*3+SUMPRODUCT(($F$78:$F$83=$H81)*($D$78:$D$83&lt;&gt;"")*($E$78:$E$83&lt;&gt;"")*($E$78:$E$83&gt;$D$78:$D$83))*3+SUMPRODUCT((($C$78:$C$83=$H81)+($F$78:$F$83=$H81))*($D$78:$D$83&lt;&gt;"")*($E$78:$E$83&lt;&gt;"")*($D$78:$D$83=$E$78:$E$83))</f>
        <v>6</v>
      </c>
      <c r="K81" s="5" t="n">
        <f aca="false">SUMPRODUCT(($C$78:$C$83=$H81)*($D$78:$D$83&lt;&gt;"")*($E$78:$E$83&lt;&gt;"")*$D$78:$D$83)+SUMPRODUCT(($F$78:$F$83=$H81)*($D$78:$D$83&lt;&gt;"")*($E$78:$E$83&lt;&gt;"")*$E$78:$E$83)</f>
        <v>3</v>
      </c>
      <c r="L81" s="5" t="n">
        <f aca="false">SUMPRODUCT(($C$78:$C$83=$H81)*($D$78:$D$83&lt;&gt;"")*($E$78:$E$83&lt;&gt;"")*$E$78:$E$83)+SUMPRODUCT(($F$78:$F$83=$H81)*($D$78:$D$83&lt;&gt;"")*($E$78:$E$83&lt;&gt;"")*$D$78:$D$83)</f>
        <v>1</v>
      </c>
      <c r="M81" s="5" t="n">
        <f aca="false">K81-L81</f>
        <v>2</v>
      </c>
      <c r="N81" s="5" t="n">
        <f aca="false">J81*10000000+(M81+100)*10000+K81*10+(3-COUNTIF($H$78:$H$83,"&lt;"&amp;H81))</f>
        <v>61020031</v>
      </c>
      <c r="O81" s="5" t="n">
        <f aca="false">RANK(N81,$N$78:$N$83)</f>
        <v>2</v>
      </c>
    </row>
    <row r="82" customFormat="false" ht="15" hidden="false" customHeight="false" outlineLevel="0" collapsed="false">
      <c r="A82" s="0" t="n">
        <v>65</v>
      </c>
      <c r="B82" s="0" t="s">
        <v>65</v>
      </c>
      <c r="C82" s="0" t="s">
        <v>76</v>
      </c>
      <c r="D82" s="4" t="n">
        <v>0</v>
      </c>
      <c r="E82" s="4" t="n">
        <v>1</v>
      </c>
      <c r="F82" s="5" t="s">
        <v>73</v>
      </c>
    </row>
    <row r="83" customFormat="false" ht="15" hidden="false" customHeight="false" outlineLevel="0" collapsed="false">
      <c r="A83" s="0" t="n">
        <v>66</v>
      </c>
      <c r="B83" s="0" t="s">
        <v>65</v>
      </c>
      <c r="C83" s="0" t="s">
        <v>74</v>
      </c>
      <c r="D83" s="4" t="n">
        <v>1</v>
      </c>
      <c r="E83" s="4" t="n">
        <v>1</v>
      </c>
      <c r="F83" s="5" t="s">
        <v>75</v>
      </c>
    </row>
    <row r="85" customFormat="false" ht="15" hidden="false" customHeight="false" outlineLevel="0" collapsed="false">
      <c r="A85" s="2" t="s">
        <v>78</v>
      </c>
    </row>
    <row r="86" customFormat="false" ht="15" hidden="false" customHeight="false" outlineLevel="0" collapsed="false">
      <c r="A86" s="3" t="s">
        <v>3</v>
      </c>
      <c r="B86" s="3" t="s">
        <v>4</v>
      </c>
      <c r="C86" s="3" t="s">
        <v>5</v>
      </c>
      <c r="D86" s="3" t="s">
        <v>6</v>
      </c>
      <c r="E86" s="3" t="s">
        <v>7</v>
      </c>
      <c r="F86" s="3" t="s">
        <v>8</v>
      </c>
      <c r="H86" s="3" t="s">
        <v>9</v>
      </c>
      <c r="I86" s="3" t="s">
        <v>10</v>
      </c>
      <c r="J86" s="3" t="s">
        <v>11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customFormat="false" ht="15" hidden="false" customHeight="false" outlineLevel="0" collapsed="false">
      <c r="A87" s="0" t="n">
        <v>19</v>
      </c>
      <c r="B87" s="0" t="s">
        <v>72</v>
      </c>
      <c r="C87" s="0" t="s">
        <v>79</v>
      </c>
      <c r="D87" s="4" t="n">
        <v>2</v>
      </c>
      <c r="E87" s="4" t="n">
        <v>0</v>
      </c>
      <c r="F87" s="5" t="s">
        <v>80</v>
      </c>
      <c r="H87" s="5" t="s">
        <v>79</v>
      </c>
      <c r="I87" s="5" t="n">
        <f aca="false">SUMPRODUCT(($C$87:$C$92=$H87)*($D$87:$D$92&lt;&gt;"")*($E$87:$E$92&lt;&gt;""))+SUMPRODUCT(($F$87:$F$92=$H87)*($D$87:$D$92&lt;&gt;"")*($E$87:$E$92&lt;&gt;""))</f>
        <v>3</v>
      </c>
      <c r="J87" s="5" t="n">
        <f aca="false">SUMPRODUCT(($C$87:$C$92=$H87)*($D$87:$D$92&lt;&gt;"")*($E$87:$E$92&lt;&gt;"")*($D$87:$D$92&gt;$E$87:$E$92))*3+SUMPRODUCT(($F$87:$F$92=$H87)*($D$87:$D$92&lt;&gt;"")*($E$87:$E$92&lt;&gt;"")*($E$87:$E$92&gt;$D$87:$D$92))*3+SUMPRODUCT((($C$87:$C$92=$H87)+($F$87:$F$92=$H87))*($D$87:$D$92&lt;&gt;"")*($E$87:$E$92&lt;&gt;"")*($D$87:$D$92=$E$87:$E$92))</f>
        <v>9</v>
      </c>
      <c r="K87" s="5" t="n">
        <f aca="false">SUMPRODUCT(($C$87:$C$92=$H87)*($D$87:$D$92&lt;&gt;"")*($E$87:$E$92&lt;&gt;"")*$D$87:$D$92)+SUMPRODUCT(($F$87:$F$92=$H87)*($D$87:$D$92&lt;&gt;"")*($E$87:$E$92&lt;&gt;"")*$E$87:$E$92)</f>
        <v>6</v>
      </c>
      <c r="L87" s="5" t="n">
        <f aca="false">SUMPRODUCT(($C$87:$C$92=$H87)*($D$87:$D$92&lt;&gt;"")*($E$87:$E$92&lt;&gt;"")*$E$87:$E$92)+SUMPRODUCT(($F$87:$F$92=$H87)*($D$87:$D$92&lt;&gt;"")*($E$87:$E$92&lt;&gt;"")*$D$87:$D$92)</f>
        <v>0</v>
      </c>
      <c r="M87" s="5" t="n">
        <f aca="false">K87-L87</f>
        <v>6</v>
      </c>
      <c r="N87" s="5" t="n">
        <f aca="false">J87*10000000+(M87+100)*10000+K87*10+(3-COUNTIF($H$87:$H$92,"&lt;"&amp;H87))</f>
        <v>91060062</v>
      </c>
      <c r="O87" s="5" t="n">
        <f aca="false">RANK(N87,$N$87:$N$92)</f>
        <v>1</v>
      </c>
      <c r="Q87" s="5" t="s">
        <v>20</v>
      </c>
      <c r="R87" s="0" t="str">
        <f aca="false">INDEX($H$87:$H$92,MATCH(1,$O$87:$O$92,0))</f>
        <v>Argentina</v>
      </c>
    </row>
    <row r="88" customFormat="false" ht="15" hidden="false" customHeight="false" outlineLevel="0" collapsed="false">
      <c r="A88" s="0" t="n">
        <v>20</v>
      </c>
      <c r="B88" s="0" t="s">
        <v>72</v>
      </c>
      <c r="C88" s="0" t="s">
        <v>81</v>
      </c>
      <c r="D88" s="4" t="n">
        <v>1</v>
      </c>
      <c r="E88" s="4" t="n">
        <v>0</v>
      </c>
      <c r="F88" s="5" t="s">
        <v>82</v>
      </c>
      <c r="H88" s="5" t="s">
        <v>80</v>
      </c>
      <c r="I88" s="5" t="n">
        <f aca="false">SUMPRODUCT(($C$87:$C$92=$H88)*($D$87:$D$92&lt;&gt;"")*($E$87:$E$92&lt;&gt;""))+SUMPRODUCT(($F$87:$F$92=$H88)*($D$87:$D$92&lt;&gt;"")*($E$87:$E$92&lt;&gt;""))</f>
        <v>3</v>
      </c>
      <c r="J88" s="5" t="n">
        <f aca="false">SUMPRODUCT(($C$87:$C$92=$H88)*($D$87:$D$92&lt;&gt;"")*($E$87:$E$92&lt;&gt;"")*($D$87:$D$92&gt;$E$87:$E$92))*3+SUMPRODUCT(($F$87:$F$92=$H88)*($D$87:$D$92&lt;&gt;"")*($E$87:$E$92&lt;&gt;"")*($E$87:$E$92&gt;$D$87:$D$92))*3+SUMPRODUCT((($C$87:$C$92=$H88)+($F$87:$F$92=$H88))*($D$87:$D$92&lt;&gt;"")*($E$87:$E$92&lt;&gt;"")*($D$87:$D$92=$E$87:$E$92))</f>
        <v>4</v>
      </c>
      <c r="K88" s="5" t="n">
        <f aca="false">SUMPRODUCT(($C$87:$C$92=$H88)*($D$87:$D$92&lt;&gt;"")*($E$87:$E$92&lt;&gt;"")*$D$87:$D$92)+SUMPRODUCT(($F$87:$F$92=$H88)*($D$87:$D$92&lt;&gt;"")*($E$87:$E$92&lt;&gt;"")*$E$87:$E$92)</f>
        <v>2</v>
      </c>
      <c r="L88" s="5" t="n">
        <f aca="false">SUMPRODUCT(($C$87:$C$92=$H88)*($D$87:$D$92&lt;&gt;"")*($E$87:$E$92&lt;&gt;"")*$E$87:$E$92)+SUMPRODUCT(($F$87:$F$92=$H88)*($D$87:$D$92&lt;&gt;"")*($E$87:$E$92&lt;&gt;"")*$D$87:$D$92)</f>
        <v>3</v>
      </c>
      <c r="M88" s="5" t="n">
        <f aca="false">K88-L88</f>
        <v>-1</v>
      </c>
      <c r="N88" s="5" t="n">
        <f aca="false">J88*10000000+(M88+100)*10000+K88*10+(3-COUNTIF($H$87:$H$92,"&lt;"&amp;H88))</f>
        <v>40990023</v>
      </c>
      <c r="O88" s="5" t="n">
        <f aca="false">RANK(N88,$N$87:$N$92)</f>
        <v>2</v>
      </c>
      <c r="Q88" s="5" t="s">
        <v>23</v>
      </c>
      <c r="R88" s="0" t="str">
        <f aca="false">INDEX($H$87:$H$92,MATCH(2,$O$87:$O$92,0))</f>
        <v>Argelia</v>
      </c>
    </row>
    <row r="89" customFormat="false" ht="15" hidden="false" customHeight="false" outlineLevel="0" collapsed="false">
      <c r="A89" s="0" t="n">
        <v>43</v>
      </c>
      <c r="B89" s="0" t="s">
        <v>77</v>
      </c>
      <c r="C89" s="0" t="s">
        <v>79</v>
      </c>
      <c r="D89" s="4" t="n">
        <v>2</v>
      </c>
      <c r="E89" s="4" t="n">
        <v>0</v>
      </c>
      <c r="F89" s="5" t="s">
        <v>81</v>
      </c>
      <c r="H89" s="5" t="s">
        <v>81</v>
      </c>
      <c r="I89" s="5" t="n">
        <f aca="false">SUMPRODUCT(($C$87:$C$92=$H89)*($D$87:$D$92&lt;&gt;"")*($E$87:$E$92&lt;&gt;""))+SUMPRODUCT(($F$87:$F$92=$H89)*($D$87:$D$92&lt;&gt;"")*($E$87:$E$92&lt;&gt;""))</f>
        <v>3</v>
      </c>
      <c r="J89" s="5" t="n">
        <f aca="false">SUMPRODUCT(($C$87:$C$92=$H89)*($D$87:$D$92&lt;&gt;"")*($E$87:$E$92&lt;&gt;"")*($D$87:$D$92&gt;$E$87:$E$92))*3+SUMPRODUCT(($F$87:$F$92=$H89)*($D$87:$D$92&lt;&gt;"")*($E$87:$E$92&lt;&gt;"")*($E$87:$E$92&gt;$D$87:$D$92))*3+SUMPRODUCT((($C$87:$C$92=$H89)+($F$87:$F$92=$H89))*($D$87:$D$92&lt;&gt;"")*($E$87:$E$92&lt;&gt;"")*($D$87:$D$92=$E$87:$E$92))</f>
        <v>4</v>
      </c>
      <c r="K89" s="5" t="n">
        <f aca="false">SUMPRODUCT(($C$87:$C$92=$H89)*($D$87:$D$92&lt;&gt;"")*($E$87:$E$92&lt;&gt;"")*$D$87:$D$92)+SUMPRODUCT(($F$87:$F$92=$H89)*($D$87:$D$92&lt;&gt;"")*($E$87:$E$92&lt;&gt;"")*$E$87:$E$92)</f>
        <v>2</v>
      </c>
      <c r="L89" s="5" t="n">
        <f aca="false">SUMPRODUCT(($C$87:$C$92=$H89)*($D$87:$D$92&lt;&gt;"")*($E$87:$E$92&lt;&gt;"")*$E$87:$E$92)+SUMPRODUCT(($F$87:$F$92=$H89)*($D$87:$D$92&lt;&gt;"")*($E$87:$E$92&lt;&gt;"")*$D$87:$D$92)</f>
        <v>3</v>
      </c>
      <c r="M89" s="5" t="n">
        <f aca="false">K89-L89</f>
        <v>-1</v>
      </c>
      <c r="N89" s="5" t="n">
        <f aca="false">J89*10000000+(M89+100)*10000+K89*10+(3-COUNTIF($H$87:$H$92,"&lt;"&amp;H89))</f>
        <v>40990021</v>
      </c>
      <c r="O89" s="5" t="n">
        <f aca="false">RANK(N89,$N$87:$N$92)</f>
        <v>3</v>
      </c>
      <c r="Q89" s="5" t="s">
        <v>25</v>
      </c>
      <c r="R89" s="0" t="str">
        <f aca="false">INDEX($H$87:$H$92,MATCH(3,$O$87:$O$92,0))</f>
        <v>Austria</v>
      </c>
    </row>
    <row r="90" customFormat="false" ht="15" hidden="false" customHeight="false" outlineLevel="0" collapsed="false">
      <c r="A90" s="0" t="n">
        <v>44</v>
      </c>
      <c r="B90" s="0" t="s">
        <v>77</v>
      </c>
      <c r="C90" s="0" t="s">
        <v>82</v>
      </c>
      <c r="D90" s="4" t="n">
        <v>0</v>
      </c>
      <c r="E90" s="4" t="n">
        <v>1</v>
      </c>
      <c r="F90" s="5" t="s">
        <v>80</v>
      </c>
      <c r="H90" s="5" t="s">
        <v>82</v>
      </c>
      <c r="I90" s="5" t="n">
        <f aca="false">SUMPRODUCT(($C$87:$C$92=$H90)*($D$87:$D$92&lt;&gt;"")*($E$87:$E$92&lt;&gt;""))+SUMPRODUCT(($F$87:$F$92=$H90)*($D$87:$D$92&lt;&gt;"")*($E$87:$E$92&lt;&gt;""))</f>
        <v>3</v>
      </c>
      <c r="J90" s="5" t="n">
        <f aca="false">SUMPRODUCT(($C$87:$C$92=$H90)*($D$87:$D$92&lt;&gt;"")*($E$87:$E$92&lt;&gt;"")*($D$87:$D$92&gt;$E$87:$E$92))*3+SUMPRODUCT(($F$87:$F$92=$H90)*($D$87:$D$92&lt;&gt;"")*($E$87:$E$92&lt;&gt;"")*($E$87:$E$92&gt;$D$87:$D$92))*3+SUMPRODUCT((($C$87:$C$92=$H90)+($F$87:$F$92=$H90))*($D$87:$D$92&lt;&gt;"")*($E$87:$E$92&lt;&gt;"")*($D$87:$D$92=$E$87:$E$92))</f>
        <v>0</v>
      </c>
      <c r="K90" s="5" t="n">
        <f aca="false">SUMPRODUCT(($C$87:$C$92=$H90)*($D$87:$D$92&lt;&gt;"")*($E$87:$E$92&lt;&gt;"")*$D$87:$D$92)+SUMPRODUCT(($F$87:$F$92=$H90)*($D$87:$D$92&lt;&gt;"")*($E$87:$E$92&lt;&gt;"")*$E$87:$E$92)</f>
        <v>0</v>
      </c>
      <c r="L90" s="5" t="n">
        <f aca="false">SUMPRODUCT(($C$87:$C$92=$H90)*($D$87:$D$92&lt;&gt;"")*($E$87:$E$92&lt;&gt;"")*$E$87:$E$92)+SUMPRODUCT(($F$87:$F$92=$H90)*($D$87:$D$92&lt;&gt;"")*($E$87:$E$92&lt;&gt;"")*$D$87:$D$92)</f>
        <v>4</v>
      </c>
      <c r="M90" s="5" t="n">
        <f aca="false">K90-L90</f>
        <v>-4</v>
      </c>
      <c r="N90" s="5" t="n">
        <f aca="false">J90*10000000+(M90+100)*10000+K90*10+(3-COUNTIF($H$87:$H$92,"&lt;"&amp;H90))</f>
        <v>960000</v>
      </c>
      <c r="O90" s="5" t="n">
        <f aca="false">RANK(N90,$N$87:$N$92)</f>
        <v>4</v>
      </c>
    </row>
    <row r="91" customFormat="false" ht="15" hidden="false" customHeight="false" outlineLevel="0" collapsed="false">
      <c r="A91" s="0" t="n">
        <v>67</v>
      </c>
      <c r="B91" s="0" t="s">
        <v>83</v>
      </c>
      <c r="C91" s="0" t="s">
        <v>82</v>
      </c>
      <c r="D91" s="4" t="n">
        <v>0</v>
      </c>
      <c r="E91" s="4" t="n">
        <v>2</v>
      </c>
      <c r="F91" s="5" t="s">
        <v>79</v>
      </c>
    </row>
    <row r="92" customFormat="false" ht="15" hidden="false" customHeight="false" outlineLevel="0" collapsed="false">
      <c r="A92" s="0" t="n">
        <v>68</v>
      </c>
      <c r="B92" s="0" t="s">
        <v>83</v>
      </c>
      <c r="C92" s="0" t="s">
        <v>80</v>
      </c>
      <c r="D92" s="4" t="n">
        <v>1</v>
      </c>
      <c r="E92" s="4" t="n">
        <v>1</v>
      </c>
      <c r="F92" s="5" t="s">
        <v>81</v>
      </c>
    </row>
    <row r="94" customFormat="false" ht="15" hidden="false" customHeight="false" outlineLevel="0" collapsed="false">
      <c r="A94" s="2" t="s">
        <v>84</v>
      </c>
    </row>
    <row r="95" customFormat="false" ht="15" hidden="false" customHeight="false" outlineLevel="0" collapsed="false">
      <c r="A95" s="3" t="s">
        <v>3</v>
      </c>
      <c r="B95" s="3" t="s">
        <v>4</v>
      </c>
      <c r="C95" s="3" t="s">
        <v>5</v>
      </c>
      <c r="D95" s="3" t="s">
        <v>6</v>
      </c>
      <c r="E95" s="3" t="s">
        <v>7</v>
      </c>
      <c r="F95" s="3" t="s">
        <v>8</v>
      </c>
      <c r="H95" s="3" t="s">
        <v>9</v>
      </c>
      <c r="I95" s="3" t="s">
        <v>10</v>
      </c>
      <c r="J95" s="3" t="s">
        <v>11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customFormat="false" ht="15" hidden="false" customHeight="false" outlineLevel="0" collapsed="false">
      <c r="A96" s="0" t="n">
        <v>21</v>
      </c>
      <c r="B96" s="0" t="s">
        <v>85</v>
      </c>
      <c r="C96" s="0" t="s">
        <v>86</v>
      </c>
      <c r="D96" s="4" t="n">
        <v>2</v>
      </c>
      <c r="E96" s="4" t="n">
        <v>0</v>
      </c>
      <c r="F96" s="5" t="s">
        <v>87</v>
      </c>
      <c r="H96" s="5" t="s">
        <v>86</v>
      </c>
      <c r="I96" s="5" t="n">
        <f aca="false">SUMPRODUCT(($C$96:$C$101=$H96)*($D$96:$D$101&lt;&gt;"")*($E$96:$E$101&lt;&gt;""))+SUMPRODUCT(($F$96:$F$101=$H96)*($D$96:$D$101&lt;&gt;"")*($E$96:$E$101&lt;&gt;""))</f>
        <v>3</v>
      </c>
      <c r="J96" s="5" t="n">
        <f aca="false">SUMPRODUCT(($C$96:$C$101=$H96)*($D$96:$D$101&lt;&gt;"")*($E$96:$E$101&lt;&gt;"")*($D$96:$D$101&gt;$E$96:$E$101))*3+SUMPRODUCT(($F$96:$F$101=$H96)*($D$96:$D$101&lt;&gt;"")*($E$96:$E$101&lt;&gt;"")*($E$96:$E$101&gt;$D$96:$D$101))*3+SUMPRODUCT((($C$96:$C$101=$H96)+($F$96:$F$101=$H96))*($D$96:$D$101&lt;&gt;"")*($E$96:$E$101&lt;&gt;"")*($D$96:$D$101=$E$96:$E$101))</f>
        <v>9</v>
      </c>
      <c r="K96" s="5" t="n">
        <f aca="false">SUMPRODUCT(($C$96:$C$101=$H96)*($D$96:$D$101&lt;&gt;"")*($E$96:$E$101&lt;&gt;"")*$D$96:$D$101)+SUMPRODUCT(($F$96:$F$101=$H96)*($D$96:$D$101&lt;&gt;"")*($E$96:$E$101&lt;&gt;"")*$E$96:$E$101)</f>
        <v>6</v>
      </c>
      <c r="L96" s="5" t="n">
        <f aca="false">SUMPRODUCT(($C$96:$C$101=$H96)*($D$96:$D$101&lt;&gt;"")*($E$96:$E$101&lt;&gt;"")*$E$96:$E$101)+SUMPRODUCT(($F$96:$F$101=$H96)*($D$96:$D$101&lt;&gt;"")*($E$96:$E$101&lt;&gt;"")*$D$96:$D$101)</f>
        <v>1</v>
      </c>
      <c r="M96" s="5" t="n">
        <f aca="false">K96-L96</f>
        <v>5</v>
      </c>
      <c r="N96" s="5" t="n">
        <f aca="false">J96*10000000+(M96+100)*10000+K96*10+(3-COUNTIF($H$96:$H$101,"&lt;"&amp;H96))</f>
        <v>91050062</v>
      </c>
      <c r="O96" s="5" t="n">
        <f aca="false">RANK(N96,$N$96:$N$101)</f>
        <v>1</v>
      </c>
      <c r="Q96" s="5" t="s">
        <v>20</v>
      </c>
      <c r="R96" s="0" t="str">
        <f aca="false">INDEX($H$96:$H$101,MATCH(1,$O$96:$O$101,0))</f>
        <v>Portugal</v>
      </c>
    </row>
    <row r="97" customFormat="false" ht="15" hidden="false" customHeight="false" outlineLevel="0" collapsed="false">
      <c r="A97" s="0" t="n">
        <v>22</v>
      </c>
      <c r="B97" s="0" t="s">
        <v>85</v>
      </c>
      <c r="C97" s="0" t="s">
        <v>88</v>
      </c>
      <c r="D97" s="4" t="n">
        <v>0</v>
      </c>
      <c r="E97" s="4" t="n">
        <v>2</v>
      </c>
      <c r="F97" s="5" t="s">
        <v>89</v>
      </c>
      <c r="H97" s="5" t="s">
        <v>87</v>
      </c>
      <c r="I97" s="5" t="n">
        <f aca="false">SUMPRODUCT(($C$96:$C$101=$H97)*($D$96:$D$101&lt;&gt;"")*($E$96:$E$101&lt;&gt;""))+SUMPRODUCT(($F$96:$F$101=$H97)*($D$96:$D$101&lt;&gt;"")*($E$96:$E$101&lt;&gt;""))</f>
        <v>3</v>
      </c>
      <c r="J97" s="5" t="n">
        <f aca="false">SUMPRODUCT(($C$96:$C$101=$H97)*($D$96:$D$101&lt;&gt;"")*($E$96:$E$101&lt;&gt;"")*($D$96:$D$101&gt;$E$96:$E$101))*3+SUMPRODUCT(($F$96:$F$101=$H97)*($D$96:$D$101&lt;&gt;"")*($E$96:$E$101&lt;&gt;"")*($E$96:$E$101&gt;$D$96:$D$101))*3+SUMPRODUCT((($C$96:$C$101=$H97)+($F$96:$F$101=$H97))*($D$96:$D$101&lt;&gt;"")*($E$96:$E$101&lt;&gt;"")*($D$96:$D$101=$E$96:$E$101))</f>
        <v>1</v>
      </c>
      <c r="K97" s="5" t="n">
        <f aca="false">SUMPRODUCT(($C$96:$C$101=$H97)*($D$96:$D$101&lt;&gt;"")*($E$96:$E$101&lt;&gt;"")*$D$96:$D$101)+SUMPRODUCT(($F$96:$F$101=$H97)*($D$96:$D$101&lt;&gt;"")*($E$96:$E$101&lt;&gt;"")*$E$96:$E$101)</f>
        <v>1</v>
      </c>
      <c r="L97" s="5" t="n">
        <f aca="false">SUMPRODUCT(($C$96:$C$101=$H97)*($D$96:$D$101&lt;&gt;"")*($E$96:$E$101&lt;&gt;"")*$E$96:$E$101)+SUMPRODUCT(($F$96:$F$101=$H97)*($D$96:$D$101&lt;&gt;"")*($E$96:$E$101&lt;&gt;"")*$D$96:$D$101)</f>
        <v>5</v>
      </c>
      <c r="M97" s="5" t="n">
        <f aca="false">K97-L97</f>
        <v>-4</v>
      </c>
      <c r="N97" s="5" t="n">
        <f aca="false">J97*10000000+(M97+100)*10000+K97*10+(3-COUNTIF($H$96:$H$101,"&lt;"&amp;H97))</f>
        <v>10960011</v>
      </c>
      <c r="O97" s="5" t="n">
        <f aca="false">RANK(N97,$N$96:$N$101)</f>
        <v>3</v>
      </c>
      <c r="Q97" s="5" t="s">
        <v>23</v>
      </c>
      <c r="R97" s="0" t="str">
        <f aca="false">INDEX($H$96:$H$101,MATCH(2,$O$96:$O$101,0))</f>
        <v>Colombia</v>
      </c>
    </row>
    <row r="98" customFormat="false" ht="15" hidden="false" customHeight="false" outlineLevel="0" collapsed="false">
      <c r="A98" s="0" t="n">
        <v>45</v>
      </c>
      <c r="B98" s="0" t="s">
        <v>90</v>
      </c>
      <c r="C98" s="0" t="s">
        <v>86</v>
      </c>
      <c r="D98" s="4" t="n">
        <v>2</v>
      </c>
      <c r="E98" s="4" t="n">
        <v>0</v>
      </c>
      <c r="F98" s="5" t="s">
        <v>88</v>
      </c>
      <c r="H98" s="5" t="s">
        <v>88</v>
      </c>
      <c r="I98" s="5" t="n">
        <f aca="false">SUMPRODUCT(($C$96:$C$101=$H98)*($D$96:$D$101&lt;&gt;"")*($E$96:$E$101&lt;&gt;""))+SUMPRODUCT(($F$96:$F$101=$H98)*($D$96:$D$101&lt;&gt;"")*($E$96:$E$101&lt;&gt;""))</f>
        <v>3</v>
      </c>
      <c r="J98" s="5" t="n">
        <f aca="false">SUMPRODUCT(($C$96:$C$101=$H98)*($D$96:$D$101&lt;&gt;"")*($E$96:$E$101&lt;&gt;"")*($D$96:$D$101&gt;$E$96:$E$101))*3+SUMPRODUCT(($F$96:$F$101=$H98)*($D$96:$D$101&lt;&gt;"")*($E$96:$E$101&lt;&gt;"")*($E$96:$E$101&gt;$D$96:$D$101))*3+SUMPRODUCT((($C$96:$C$101=$H98)+($F$96:$F$101=$H98))*($D$96:$D$101&lt;&gt;"")*($E$96:$E$101&lt;&gt;"")*($D$96:$D$101=$E$96:$E$101))</f>
        <v>1</v>
      </c>
      <c r="K98" s="5" t="n">
        <f aca="false">SUMPRODUCT(($C$96:$C$101=$H98)*($D$96:$D$101&lt;&gt;"")*($E$96:$E$101&lt;&gt;"")*$D$96:$D$101)+SUMPRODUCT(($F$96:$F$101=$H98)*($D$96:$D$101&lt;&gt;"")*($E$96:$E$101&lt;&gt;"")*$E$96:$E$101)</f>
        <v>1</v>
      </c>
      <c r="L98" s="5" t="n">
        <f aca="false">SUMPRODUCT(($C$96:$C$101=$H98)*($D$96:$D$101&lt;&gt;"")*($E$96:$E$101&lt;&gt;"")*$E$96:$E$101)+SUMPRODUCT(($F$96:$F$101=$H98)*($D$96:$D$101&lt;&gt;"")*($E$96:$E$101&lt;&gt;"")*$D$96:$D$101)</f>
        <v>5</v>
      </c>
      <c r="M98" s="5" t="n">
        <f aca="false">K98-L98</f>
        <v>-4</v>
      </c>
      <c r="N98" s="5" t="n">
        <f aca="false">J98*10000000+(M98+100)*10000+K98*10+(3-COUNTIF($H$96:$H$101,"&lt;"&amp;H98))</f>
        <v>10960010</v>
      </c>
      <c r="O98" s="5" t="n">
        <f aca="false">RANK(N98,$N$96:$N$101)</f>
        <v>4</v>
      </c>
      <c r="Q98" s="5" t="s">
        <v>25</v>
      </c>
      <c r="R98" s="0" t="str">
        <f aca="false">INDEX($H$96:$H$101,MATCH(3,$O$96:$O$101,0))</f>
        <v>RD Congo</v>
      </c>
    </row>
    <row r="99" customFormat="false" ht="15" hidden="false" customHeight="false" outlineLevel="0" collapsed="false">
      <c r="A99" s="0" t="n">
        <v>46</v>
      </c>
      <c r="B99" s="0" t="s">
        <v>90</v>
      </c>
      <c r="C99" s="0" t="s">
        <v>89</v>
      </c>
      <c r="D99" s="4" t="n">
        <v>2</v>
      </c>
      <c r="E99" s="4" t="n">
        <v>0</v>
      </c>
      <c r="F99" s="5" t="s">
        <v>87</v>
      </c>
      <c r="H99" s="5" t="s">
        <v>89</v>
      </c>
      <c r="I99" s="5" t="n">
        <f aca="false">SUMPRODUCT(($C$96:$C$101=$H99)*($D$96:$D$101&lt;&gt;"")*($E$96:$E$101&lt;&gt;""))+SUMPRODUCT(($F$96:$F$101=$H99)*($D$96:$D$101&lt;&gt;"")*($E$96:$E$101&lt;&gt;""))</f>
        <v>3</v>
      </c>
      <c r="J99" s="5" t="n">
        <f aca="false">SUMPRODUCT(($C$96:$C$101=$H99)*($D$96:$D$101&lt;&gt;"")*($E$96:$E$101&lt;&gt;"")*($D$96:$D$101&gt;$E$96:$E$101))*3+SUMPRODUCT(($F$96:$F$101=$H99)*($D$96:$D$101&lt;&gt;"")*($E$96:$E$101&lt;&gt;"")*($E$96:$E$101&gt;$D$96:$D$101))*3+SUMPRODUCT((($C$96:$C$101=$H99)+($F$96:$F$101=$H99))*($D$96:$D$101&lt;&gt;"")*($E$96:$E$101&lt;&gt;"")*($D$96:$D$101=$E$96:$E$101))</f>
        <v>6</v>
      </c>
      <c r="K99" s="5" t="n">
        <f aca="false">SUMPRODUCT(($C$96:$C$101=$H99)*($D$96:$D$101&lt;&gt;"")*($E$96:$E$101&lt;&gt;"")*$D$96:$D$101)+SUMPRODUCT(($F$96:$F$101=$H99)*($D$96:$D$101&lt;&gt;"")*($E$96:$E$101&lt;&gt;"")*$E$96:$E$101)</f>
        <v>5</v>
      </c>
      <c r="L99" s="5" t="n">
        <f aca="false">SUMPRODUCT(($C$96:$C$101=$H99)*($D$96:$D$101&lt;&gt;"")*($E$96:$E$101&lt;&gt;"")*$E$96:$E$101)+SUMPRODUCT(($F$96:$F$101=$H99)*($D$96:$D$101&lt;&gt;"")*($E$96:$E$101&lt;&gt;"")*$D$96:$D$101)</f>
        <v>2</v>
      </c>
      <c r="M99" s="5" t="n">
        <f aca="false">K99-L99</f>
        <v>3</v>
      </c>
      <c r="N99" s="5" t="n">
        <f aca="false">J99*10000000+(M99+100)*10000+K99*10+(3-COUNTIF($H$96:$H$101,"&lt;"&amp;H99))</f>
        <v>61030053</v>
      </c>
      <c r="O99" s="5" t="n">
        <f aca="false">RANK(N99,$N$96:$N$101)</f>
        <v>2</v>
      </c>
    </row>
    <row r="100" customFormat="false" ht="15" hidden="false" customHeight="false" outlineLevel="0" collapsed="false">
      <c r="A100" s="0" t="n">
        <v>69</v>
      </c>
      <c r="B100" s="0" t="s">
        <v>83</v>
      </c>
      <c r="C100" s="0" t="s">
        <v>89</v>
      </c>
      <c r="D100" s="4" t="n">
        <v>1</v>
      </c>
      <c r="E100" s="4" t="n">
        <v>2</v>
      </c>
      <c r="F100" s="5" t="s">
        <v>86</v>
      </c>
    </row>
    <row r="101" customFormat="false" ht="15" hidden="false" customHeight="false" outlineLevel="0" collapsed="false">
      <c r="A101" s="0" t="n">
        <v>70</v>
      </c>
      <c r="B101" s="0" t="s">
        <v>83</v>
      </c>
      <c r="C101" s="0" t="s">
        <v>87</v>
      </c>
      <c r="D101" s="4" t="n">
        <v>1</v>
      </c>
      <c r="E101" s="4" t="n">
        <v>1</v>
      </c>
      <c r="F101" s="5" t="s">
        <v>88</v>
      </c>
    </row>
    <row r="103" customFormat="false" ht="15" hidden="false" customHeight="false" outlineLevel="0" collapsed="false">
      <c r="A103" s="2" t="s">
        <v>91</v>
      </c>
    </row>
    <row r="104" customFormat="false" ht="15" hidden="false" customHeight="false" outlineLevel="0" collapsed="false">
      <c r="A104" s="3" t="s">
        <v>3</v>
      </c>
      <c r="B104" s="3" t="s">
        <v>4</v>
      </c>
      <c r="C104" s="3" t="s">
        <v>5</v>
      </c>
      <c r="D104" s="3" t="s">
        <v>6</v>
      </c>
      <c r="E104" s="3" t="s">
        <v>7</v>
      </c>
      <c r="F104" s="3" t="s">
        <v>8</v>
      </c>
      <c r="H104" s="3" t="s">
        <v>9</v>
      </c>
      <c r="I104" s="3" t="s">
        <v>10</v>
      </c>
      <c r="J104" s="3" t="s">
        <v>11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customFormat="false" ht="15" hidden="false" customHeight="false" outlineLevel="0" collapsed="false">
      <c r="A105" s="0" t="n">
        <v>23</v>
      </c>
      <c r="B105" s="0" t="s">
        <v>85</v>
      </c>
      <c r="C105" s="0" t="s">
        <v>92</v>
      </c>
      <c r="D105" s="4" t="n">
        <v>1</v>
      </c>
      <c r="E105" s="4" t="n">
        <v>1</v>
      </c>
      <c r="F105" s="5" t="s">
        <v>93</v>
      </c>
      <c r="H105" s="5" t="s">
        <v>92</v>
      </c>
      <c r="I105" s="5" t="n">
        <f aca="false">SUMPRODUCT(($C$105:$C$110=$H105)*($D$105:$D$110&lt;&gt;"")*($E$105:$E$110&lt;&gt;""))+SUMPRODUCT(($F$105:$F$110=$H105)*($D$105:$D$110&lt;&gt;"")*($E$105:$E$110&lt;&gt;""))</f>
        <v>3</v>
      </c>
      <c r="J105" s="5" t="n">
        <f aca="false">SUMPRODUCT(($C$105:$C$110=$H105)*($D$105:$D$110&lt;&gt;"")*($E$105:$E$110&lt;&gt;"")*($D$105:$D$110&gt;$E$105:$E$110))*3+SUMPRODUCT(($F$105:$F$110=$H105)*($D$105:$D$110&lt;&gt;"")*($E$105:$E$110&lt;&gt;"")*($E$105:$E$110&gt;$D$105:$D$110))*3+SUMPRODUCT((($C$105:$C$110=$H105)+($F$105:$F$110=$H105))*($D$105:$D$110&lt;&gt;"")*($E$105:$E$110&lt;&gt;"")*($D$105:$D$110=$E$105:$E$110))</f>
        <v>7</v>
      </c>
      <c r="K105" s="5" t="n">
        <f aca="false">SUMPRODUCT(($C$105:$C$110=$H105)*($D$105:$D$110&lt;&gt;"")*($E$105:$E$110&lt;&gt;"")*$D$105:$D$110)+SUMPRODUCT(($F$105:$F$110=$H105)*($D$105:$D$110&lt;&gt;"")*($E$105:$E$110&lt;&gt;"")*$E$105:$E$110)</f>
        <v>5</v>
      </c>
      <c r="L105" s="5" t="n">
        <f aca="false">SUMPRODUCT(($C$105:$C$110=$H105)*($D$105:$D$110&lt;&gt;"")*($E$105:$E$110&lt;&gt;"")*$E$105:$E$110)+SUMPRODUCT(($F$105:$F$110=$H105)*($D$105:$D$110&lt;&gt;"")*($E$105:$E$110&lt;&gt;"")*$D$105:$D$110)</f>
        <v>1</v>
      </c>
      <c r="M105" s="5" t="n">
        <f aca="false">K105-L105</f>
        <v>4</v>
      </c>
      <c r="N105" s="5" t="n">
        <f aca="false">J105*10000000+(M105+100)*10000+K105*10+(3-COUNTIF($H$105:$H$110,"&lt;"&amp;H105))</f>
        <v>71040051</v>
      </c>
      <c r="O105" s="5" t="n">
        <f aca="false">RANK(N105,$N$105:$N$110)</f>
        <v>1</v>
      </c>
      <c r="Q105" s="5" t="s">
        <v>20</v>
      </c>
      <c r="R105" s="0" t="str">
        <f aca="false">INDEX($H$105:$H$110,MATCH(1,$O$105:$O$110,0))</f>
        <v>Inglaterra</v>
      </c>
    </row>
    <row r="106" customFormat="false" ht="15" hidden="false" customHeight="false" outlineLevel="0" collapsed="false">
      <c r="A106" s="0" t="n">
        <v>24</v>
      </c>
      <c r="B106" s="0" t="s">
        <v>85</v>
      </c>
      <c r="C106" s="0" t="s">
        <v>94</v>
      </c>
      <c r="D106" s="4" t="n">
        <v>0</v>
      </c>
      <c r="E106" s="4" t="n">
        <v>1</v>
      </c>
      <c r="F106" s="5" t="s">
        <v>95</v>
      </c>
      <c r="H106" s="5" t="s">
        <v>93</v>
      </c>
      <c r="I106" s="5" t="n">
        <f aca="false">SUMPRODUCT(($C$105:$C$110=$H106)*($D$105:$D$110&lt;&gt;"")*($E$105:$E$110&lt;&gt;""))+SUMPRODUCT(($F$105:$F$110=$H106)*($D$105:$D$110&lt;&gt;"")*($E$105:$E$110&lt;&gt;""))</f>
        <v>3</v>
      </c>
      <c r="J106" s="5" t="n">
        <f aca="false">SUMPRODUCT(($C$105:$C$110=$H106)*($D$105:$D$110&lt;&gt;"")*($E$105:$E$110&lt;&gt;"")*($D$105:$D$110&gt;$E$105:$E$110))*3+SUMPRODUCT(($F$105:$F$110=$H106)*($D$105:$D$110&lt;&gt;"")*($E$105:$E$110&lt;&gt;"")*($E$105:$E$110&gt;$D$105:$D$110))*3+SUMPRODUCT((($C$105:$C$110=$H106)+($F$105:$F$110=$H106))*($D$105:$D$110&lt;&gt;"")*($E$105:$E$110&lt;&gt;"")*($D$105:$D$110=$E$105:$E$110))</f>
        <v>7</v>
      </c>
      <c r="K106" s="5" t="n">
        <f aca="false">SUMPRODUCT(($C$105:$C$110=$H106)*($D$105:$D$110&lt;&gt;"")*($E$105:$E$110&lt;&gt;"")*$D$105:$D$110)+SUMPRODUCT(($F$105:$F$110=$H106)*($D$105:$D$110&lt;&gt;"")*($E$105:$E$110&lt;&gt;"")*$E$105:$E$110)</f>
        <v>4</v>
      </c>
      <c r="L106" s="5" t="n">
        <f aca="false">SUMPRODUCT(($C$105:$C$110=$H106)*($D$105:$D$110&lt;&gt;"")*($E$105:$E$110&lt;&gt;"")*$E$105:$E$110)+SUMPRODUCT(($F$105:$F$110=$H106)*($D$105:$D$110&lt;&gt;"")*($E$105:$E$110&lt;&gt;"")*$D$105:$D$110)</f>
        <v>1</v>
      </c>
      <c r="M106" s="5" t="n">
        <f aca="false">K106-L106</f>
        <v>3</v>
      </c>
      <c r="N106" s="5" t="n">
        <f aca="false">J106*10000000+(M106+100)*10000+K106*10+(3-COUNTIF($H$105:$H$110,"&lt;"&amp;H106))</f>
        <v>71030043</v>
      </c>
      <c r="O106" s="5" t="n">
        <f aca="false">RANK(N106,$N$105:$N$110)</f>
        <v>2</v>
      </c>
      <c r="Q106" s="5" t="s">
        <v>23</v>
      </c>
      <c r="R106" s="0" t="str">
        <f aca="false">INDEX($H$105:$H$110,MATCH(2,$O$105:$O$110,0))</f>
        <v>Croacia</v>
      </c>
    </row>
    <row r="107" customFormat="false" ht="15" hidden="false" customHeight="false" outlineLevel="0" collapsed="false">
      <c r="A107" s="0" t="n">
        <v>47</v>
      </c>
      <c r="B107" s="0" t="s">
        <v>90</v>
      </c>
      <c r="C107" s="0" t="s">
        <v>92</v>
      </c>
      <c r="D107" s="4" t="n">
        <v>2</v>
      </c>
      <c r="E107" s="4" t="n">
        <v>0</v>
      </c>
      <c r="F107" s="5" t="s">
        <v>94</v>
      </c>
      <c r="H107" s="5" t="s">
        <v>94</v>
      </c>
      <c r="I107" s="5" t="n">
        <f aca="false">SUMPRODUCT(($C$105:$C$110=$H107)*($D$105:$D$110&lt;&gt;"")*($E$105:$E$110&lt;&gt;""))+SUMPRODUCT(($F$105:$F$110=$H107)*($D$105:$D$110&lt;&gt;"")*($E$105:$E$110&lt;&gt;""))</f>
        <v>3</v>
      </c>
      <c r="J107" s="5" t="n">
        <f aca="false">SUMPRODUCT(($C$105:$C$110=$H107)*($D$105:$D$110&lt;&gt;"")*($E$105:$E$110&lt;&gt;"")*($D$105:$D$110&gt;$E$105:$E$110))*3+SUMPRODUCT(($F$105:$F$110=$H107)*($D$105:$D$110&lt;&gt;"")*($E$105:$E$110&lt;&gt;"")*($E$105:$E$110&gt;$D$105:$D$110))*3+SUMPRODUCT((($C$105:$C$110=$H107)+($F$105:$F$110=$H107))*($D$105:$D$110&lt;&gt;"")*($E$105:$E$110&lt;&gt;"")*($D$105:$D$110=$E$105:$E$110))</f>
        <v>0</v>
      </c>
      <c r="K107" s="5" t="n">
        <f aca="false">SUMPRODUCT(($C$105:$C$110=$H107)*($D$105:$D$110&lt;&gt;"")*($E$105:$E$110&lt;&gt;"")*$D$105:$D$110)+SUMPRODUCT(($F$105:$F$110=$H107)*($D$105:$D$110&lt;&gt;"")*($E$105:$E$110&lt;&gt;"")*$E$105:$E$110)</f>
        <v>0</v>
      </c>
      <c r="L107" s="5" t="n">
        <f aca="false">SUMPRODUCT(($C$105:$C$110=$H107)*($D$105:$D$110&lt;&gt;"")*($E$105:$E$110&lt;&gt;"")*$E$105:$E$110)+SUMPRODUCT(($F$105:$F$110=$H107)*($D$105:$D$110&lt;&gt;"")*($E$105:$E$110&lt;&gt;"")*$D$105:$D$110)</f>
        <v>5</v>
      </c>
      <c r="M107" s="5" t="n">
        <f aca="false">K107-L107</f>
        <v>-5</v>
      </c>
      <c r="N107" s="5" t="n">
        <f aca="false">J107*10000000+(M107+100)*10000+K107*10+(3-COUNTIF($H$105:$H$110,"&lt;"&amp;H107))</f>
        <v>950002</v>
      </c>
      <c r="O107" s="5" t="n">
        <f aca="false">RANK(N107,$N$105:$N$110)</f>
        <v>4</v>
      </c>
      <c r="Q107" s="5" t="s">
        <v>25</v>
      </c>
      <c r="R107" s="0" t="str">
        <f aca="false">INDEX($H$105:$H$110,MATCH(3,$O$105:$O$110,0))</f>
        <v>Panamá</v>
      </c>
    </row>
    <row r="108" customFormat="false" ht="15" hidden="false" customHeight="false" outlineLevel="0" collapsed="false">
      <c r="A108" s="0" t="n">
        <v>48</v>
      </c>
      <c r="B108" s="0" t="s">
        <v>90</v>
      </c>
      <c r="C108" s="0" t="s">
        <v>95</v>
      </c>
      <c r="D108" s="4" t="n">
        <v>0</v>
      </c>
      <c r="E108" s="4" t="n">
        <v>1</v>
      </c>
      <c r="F108" s="5" t="s">
        <v>93</v>
      </c>
      <c r="H108" s="5" t="s">
        <v>95</v>
      </c>
      <c r="I108" s="5" t="n">
        <f aca="false">SUMPRODUCT(($C$105:$C$110=$H108)*($D$105:$D$110&lt;&gt;"")*($E$105:$E$110&lt;&gt;""))+SUMPRODUCT(($F$105:$F$110=$H108)*($D$105:$D$110&lt;&gt;"")*($E$105:$E$110&lt;&gt;""))</f>
        <v>3</v>
      </c>
      <c r="J108" s="5" t="n">
        <f aca="false">SUMPRODUCT(($C$105:$C$110=$H108)*($D$105:$D$110&lt;&gt;"")*($E$105:$E$110&lt;&gt;"")*($D$105:$D$110&gt;$E$105:$E$110))*3+SUMPRODUCT(($F$105:$F$110=$H108)*($D$105:$D$110&lt;&gt;"")*($E$105:$E$110&lt;&gt;"")*($E$105:$E$110&gt;$D$105:$D$110))*3+SUMPRODUCT((($C$105:$C$110=$H108)+($F$105:$F$110=$H108))*($D$105:$D$110&lt;&gt;"")*($E$105:$E$110&lt;&gt;"")*($D$105:$D$110=$E$105:$E$110))</f>
        <v>3</v>
      </c>
      <c r="K108" s="5" t="n">
        <f aca="false">SUMPRODUCT(($C$105:$C$110=$H108)*($D$105:$D$110&lt;&gt;"")*($E$105:$E$110&lt;&gt;"")*$D$105:$D$110)+SUMPRODUCT(($F$105:$F$110=$H108)*($D$105:$D$110&lt;&gt;"")*($E$105:$E$110&lt;&gt;"")*$E$105:$E$110)</f>
        <v>1</v>
      </c>
      <c r="L108" s="5" t="n">
        <f aca="false">SUMPRODUCT(($C$105:$C$110=$H108)*($D$105:$D$110&lt;&gt;"")*($E$105:$E$110&lt;&gt;"")*$E$105:$E$110)+SUMPRODUCT(($F$105:$F$110=$H108)*($D$105:$D$110&lt;&gt;"")*($E$105:$E$110&lt;&gt;"")*$D$105:$D$110)</f>
        <v>3</v>
      </c>
      <c r="M108" s="5" t="n">
        <f aca="false">K108-L108</f>
        <v>-2</v>
      </c>
      <c r="N108" s="5" t="n">
        <f aca="false">J108*10000000+(M108+100)*10000+K108*10+(3-COUNTIF($H$105:$H$110,"&lt;"&amp;H108))</f>
        <v>30980010</v>
      </c>
      <c r="O108" s="5" t="n">
        <f aca="false">RANK(N108,$N$105:$N$110)</f>
        <v>3</v>
      </c>
    </row>
    <row r="109" customFormat="false" ht="15" hidden="false" customHeight="false" outlineLevel="0" collapsed="false">
      <c r="A109" s="0" t="n">
        <v>71</v>
      </c>
      <c r="B109" s="0" t="s">
        <v>83</v>
      </c>
      <c r="C109" s="0" t="s">
        <v>95</v>
      </c>
      <c r="D109" s="4" t="n">
        <v>0</v>
      </c>
      <c r="E109" s="4" t="n">
        <v>2</v>
      </c>
      <c r="F109" s="5" t="s">
        <v>92</v>
      </c>
    </row>
    <row r="110" customFormat="false" ht="15" hidden="false" customHeight="false" outlineLevel="0" collapsed="false">
      <c r="A110" s="0" t="n">
        <v>72</v>
      </c>
      <c r="B110" s="0" t="s">
        <v>83</v>
      </c>
      <c r="C110" s="0" t="s">
        <v>93</v>
      </c>
      <c r="D110" s="4" t="n">
        <v>2</v>
      </c>
      <c r="E110" s="4" t="n">
        <v>0</v>
      </c>
      <c r="F110" s="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5"/>
    <col collapsed="false" customWidth="true" hidden="false" outlineLevel="0" max="4" min="4" style="0" width="6"/>
    <col collapsed="false" customWidth="true" hidden="false" outlineLevel="0" max="5" min="5" style="0" width="5"/>
    <col collapsed="false" customWidth="true" hidden="false" outlineLevel="0" max="6" min="6" style="0" width="13"/>
    <col collapsed="false" customWidth="true" hidden="false" outlineLevel="0" max="7" min="7" style="0" width="6"/>
    <col collapsed="false" customWidth="true" hidden="false" outlineLevel="0" max="8" min="8" style="0" width="9"/>
  </cols>
  <sheetData>
    <row r="1" customFormat="false" ht="15" hidden="false" customHeight="false" outlineLevel="0" collapsed="false">
      <c r="A1" s="6" t="s">
        <v>96</v>
      </c>
    </row>
    <row r="3" customFormat="false" ht="15" hidden="false" customHeight="false" outlineLevel="0" collapsed="false">
      <c r="A3" s="7" t="s">
        <v>97</v>
      </c>
      <c r="B3" s="7" t="s">
        <v>9</v>
      </c>
      <c r="C3" s="7" t="s">
        <v>11</v>
      </c>
      <c r="D3" s="7" t="s">
        <v>14</v>
      </c>
      <c r="E3" s="7" t="s">
        <v>12</v>
      </c>
      <c r="F3" s="7" t="s">
        <v>15</v>
      </c>
      <c r="G3" s="7" t="s">
        <v>98</v>
      </c>
      <c r="H3" s="7" t="s">
        <v>99</v>
      </c>
    </row>
    <row r="4" customFormat="false" ht="15" hidden="false" customHeight="false" outlineLevel="0" collapsed="false">
      <c r="A4" s="0" t="s">
        <v>100</v>
      </c>
      <c r="B4" s="0" t="str">
        <f aca="false">INDEX(Grupos!$H$6:$H$11,MATCH(3,Grupos!$O$6:$O$11,0))</f>
        <v>Chequia</v>
      </c>
      <c r="C4" s="0" t="n">
        <f aca="false">INDEX(Grupos!$J$6:$J$11,MATCH(3,Grupos!$O$6:$O$11,0))</f>
        <v>2</v>
      </c>
      <c r="D4" s="0" t="n">
        <f aca="false">INDEX(Grupos!$M$6:$M$11,MATCH(3,Grupos!$O$6:$O$11,0))</f>
        <v>-2</v>
      </c>
      <c r="E4" s="0" t="n">
        <f aca="false">INDEX(Grupos!$K$6:$K$11,MATCH(3,Grupos!$O$6:$O$11,0))</f>
        <v>2</v>
      </c>
      <c r="F4" s="0" t="n">
        <f aca="false">C4*10000000+(D4+100)*10000+E4*10+(11-COUNTIF($B$4:$B$15,"&lt;"&amp;B4))</f>
        <v>20980028</v>
      </c>
      <c r="G4" s="0" t="n">
        <f aca="false">RANK(F4,$F$4:$F$15)</f>
        <v>7</v>
      </c>
      <c r="H4" s="0" t="str">
        <f aca="false">IF(G4&lt;=8,"SÍ","no")</f>
        <v>SÍ</v>
      </c>
    </row>
    <row r="5" customFormat="false" ht="15" hidden="false" customHeight="false" outlineLevel="0" collapsed="false">
      <c r="A5" s="0" t="s">
        <v>101</v>
      </c>
      <c r="B5" s="0" t="str">
        <f aca="false">INDEX(Grupos!$H$15:$H$20,MATCH(3,Grupos!$O$15:$O$20,0))</f>
        <v>Bosnia y Herzegovina</v>
      </c>
      <c r="C5" s="0" t="n">
        <f aca="false">INDEX(Grupos!$J$15:$J$20,MATCH(3,Grupos!$O$15:$O$20,0))</f>
        <v>1</v>
      </c>
      <c r="D5" s="0" t="n">
        <f aca="false">INDEX(Grupos!$M$15:$M$20,MATCH(3,Grupos!$O$15:$O$20,0))</f>
        <v>-2</v>
      </c>
      <c r="E5" s="0" t="n">
        <f aca="false">INDEX(Grupos!$K$15:$K$20,MATCH(3,Grupos!$O$15:$O$20,0))</f>
        <v>1</v>
      </c>
      <c r="F5" s="0" t="n">
        <f aca="false">C5*10000000+(D5+100)*10000+E5*10+(11-COUNTIF($B$4:$B$15,"&lt;"&amp;B5))</f>
        <v>10980019</v>
      </c>
      <c r="G5" s="0" t="n">
        <f aca="false">RANK(F5,$F$4:$F$15)</f>
        <v>9</v>
      </c>
      <c r="H5" s="0" t="str">
        <f aca="false">IF(G5&lt;=8,"SÍ","no")</f>
        <v>no</v>
      </c>
    </row>
    <row r="6" customFormat="false" ht="15" hidden="false" customHeight="false" outlineLevel="0" collapsed="false">
      <c r="A6" s="0" t="s">
        <v>102</v>
      </c>
      <c r="B6" s="0" t="str">
        <f aca="false">INDEX(Grupos!$H$24:$H$29,MATCH(3,Grupos!$O$24:$O$29,0))</f>
        <v>Escocia</v>
      </c>
      <c r="C6" s="0" t="n">
        <f aca="false">INDEX(Grupos!$J$24:$J$29,MATCH(3,Grupos!$O$24:$O$29,0))</f>
        <v>3</v>
      </c>
      <c r="D6" s="0" t="n">
        <f aca="false">INDEX(Grupos!$M$24:$M$29,MATCH(3,Grupos!$O$24:$O$29,0))</f>
        <v>-2</v>
      </c>
      <c r="E6" s="0" t="n">
        <f aca="false">INDEX(Grupos!$K$24:$K$29,MATCH(3,Grupos!$O$24:$O$29,0))</f>
        <v>1</v>
      </c>
      <c r="F6" s="0" t="n">
        <f aca="false">C6*10000000+(D6+100)*10000+E6*10+(11-COUNTIF($B$4:$B$15,"&lt;"&amp;B6))</f>
        <v>30980015</v>
      </c>
      <c r="G6" s="0" t="n">
        <f aca="false">RANK(F6,$F$4:$F$15)</f>
        <v>5</v>
      </c>
      <c r="H6" s="0" t="str">
        <f aca="false">IF(G6&lt;=8,"SÍ","no")</f>
        <v>SÍ</v>
      </c>
    </row>
    <row r="7" customFormat="false" ht="15" hidden="false" customHeight="false" outlineLevel="0" collapsed="false">
      <c r="A7" s="0" t="s">
        <v>103</v>
      </c>
      <c r="B7" s="0" t="str">
        <f aca="false">INDEX(Grupos!$H$33:$H$38,MATCH(3,Grupos!$O$33:$O$38,0))</f>
        <v>Turquía</v>
      </c>
      <c r="C7" s="0" t="n">
        <f aca="false">INDEX(Grupos!$J$33:$J$38,MATCH(3,Grupos!$O$33:$O$38,0))</f>
        <v>3</v>
      </c>
      <c r="D7" s="0" t="n">
        <f aca="false">INDEX(Grupos!$M$33:$M$38,MATCH(3,Grupos!$O$33:$O$38,0))</f>
        <v>0</v>
      </c>
      <c r="E7" s="0" t="n">
        <f aca="false">INDEX(Grupos!$K$33:$K$38,MATCH(3,Grupos!$O$33:$O$38,0))</f>
        <v>3</v>
      </c>
      <c r="F7" s="0" t="n">
        <f aca="false">C7*10000000+(D7+100)*10000+E7*10+(11-COUNTIF($B$4:$B$15,"&lt;"&amp;B7))</f>
        <v>31000030</v>
      </c>
      <c r="G7" s="0" t="n">
        <f aca="false">RANK(F7,$F$4:$F$15)</f>
        <v>3</v>
      </c>
      <c r="H7" s="0" t="str">
        <f aca="false">IF(G7&lt;=8,"SÍ","no")</f>
        <v>SÍ</v>
      </c>
    </row>
    <row r="8" customFormat="false" ht="15" hidden="false" customHeight="false" outlineLevel="0" collapsed="false">
      <c r="A8" s="0" t="s">
        <v>104</v>
      </c>
      <c r="B8" s="0" t="str">
        <f aca="false">INDEX(Grupos!$H$42:$H$47,MATCH(3,Grupos!$O$42:$O$47,0))</f>
        <v>Costa de Marfil</v>
      </c>
      <c r="C8" s="0" t="n">
        <f aca="false">INDEX(Grupos!$J$42:$J$47,MATCH(3,Grupos!$O$42:$O$47,0))</f>
        <v>3</v>
      </c>
      <c r="D8" s="0" t="n">
        <f aca="false">INDEX(Grupos!$M$42:$M$47,MATCH(3,Grupos!$O$42:$O$47,0))</f>
        <v>-1</v>
      </c>
      <c r="E8" s="0" t="n">
        <f aca="false">INDEX(Grupos!$K$42:$K$47,MATCH(3,Grupos!$O$42:$O$47,0))</f>
        <v>1</v>
      </c>
      <c r="F8" s="0" t="n">
        <f aca="false">C8*10000000+(D8+100)*10000+E8*10+(11-COUNTIF($B$4:$B$15,"&lt;"&amp;B8))</f>
        <v>30990017</v>
      </c>
      <c r="G8" s="0" t="n">
        <f aca="false">RANK(F8,$F$4:$F$15)</f>
        <v>4</v>
      </c>
      <c r="H8" s="0" t="str">
        <f aca="false">IF(G8&lt;=8,"SÍ","no")</f>
        <v>SÍ</v>
      </c>
    </row>
    <row r="9" customFormat="false" ht="15" hidden="false" customHeight="false" outlineLevel="0" collapsed="false">
      <c r="A9" s="0" t="s">
        <v>105</v>
      </c>
      <c r="B9" s="0" t="str">
        <f aca="false">INDEX(Grupos!$H$51:$H$56,MATCH(3,Grupos!$O$51:$O$56,0))</f>
        <v>Suecia</v>
      </c>
      <c r="C9" s="0" t="n">
        <f aca="false">INDEX(Grupos!$J$51:$J$56,MATCH(3,Grupos!$O$51:$O$56,0))</f>
        <v>2</v>
      </c>
      <c r="D9" s="0" t="n">
        <f aca="false">INDEX(Grupos!$M$51:$M$56,MATCH(3,Grupos!$O$51:$O$56,0))</f>
        <v>-2</v>
      </c>
      <c r="E9" s="0" t="n">
        <f aca="false">INDEX(Grupos!$K$51:$K$56,MATCH(3,Grupos!$O$51:$O$56,0))</f>
        <v>2</v>
      </c>
      <c r="F9" s="0" t="n">
        <f aca="false">C9*10000000+(D9+100)*10000+E9*10+(11-COUNTIF($B$4:$B$15,"&lt;"&amp;B9))</f>
        <v>20980021</v>
      </c>
      <c r="G9" s="0" t="n">
        <f aca="false">RANK(F9,$F$4:$F$15)</f>
        <v>8</v>
      </c>
      <c r="H9" s="0" t="str">
        <f aca="false">IF(G9&lt;=8,"SÍ","no")</f>
        <v>SÍ</v>
      </c>
    </row>
    <row r="10" customFormat="false" ht="15" hidden="false" customHeight="false" outlineLevel="0" collapsed="false">
      <c r="A10" s="0" t="s">
        <v>106</v>
      </c>
      <c r="B10" s="0" t="str">
        <f aca="false">INDEX(Grupos!$H$60:$H$65,MATCH(3,Grupos!$O$60:$O$65,0))</f>
        <v>Egipto</v>
      </c>
      <c r="C10" s="0" t="n">
        <f aca="false">INDEX(Grupos!$J$60:$J$65,MATCH(3,Grupos!$O$60:$O$65,0))</f>
        <v>5</v>
      </c>
      <c r="D10" s="0" t="n">
        <f aca="false">INDEX(Grupos!$M$60:$M$65,MATCH(3,Grupos!$O$60:$O$65,0))</f>
        <v>1</v>
      </c>
      <c r="E10" s="0" t="n">
        <f aca="false">INDEX(Grupos!$K$60:$K$65,MATCH(3,Grupos!$O$60:$O$65,0))</f>
        <v>3</v>
      </c>
      <c r="F10" s="0" t="n">
        <f aca="false">C10*10000000+(D10+100)*10000+E10*10+(11-COUNTIF($B$4:$B$15,"&lt;"&amp;B10))</f>
        <v>51010036</v>
      </c>
      <c r="G10" s="0" t="n">
        <f aca="false">RANK(F10,$F$4:$F$15)</f>
        <v>1</v>
      </c>
      <c r="H10" s="0" t="str">
        <f aca="false">IF(G10&lt;=8,"SÍ","no")</f>
        <v>SÍ</v>
      </c>
    </row>
    <row r="11" customFormat="false" ht="15" hidden="false" customHeight="false" outlineLevel="0" collapsed="false">
      <c r="A11" s="0" t="s">
        <v>107</v>
      </c>
      <c r="B11" s="0" t="str">
        <f aca="false">INDEX(Grupos!$H$69:$H$74,MATCH(3,Grupos!$O$69:$O$74,0))</f>
        <v>Arabia Saudita</v>
      </c>
      <c r="C11" s="0" t="n">
        <f aca="false">INDEX(Grupos!$J$69:$J$74,MATCH(3,Grupos!$O$69:$O$74,0))</f>
        <v>1</v>
      </c>
      <c r="D11" s="0" t="n">
        <f aca="false">INDEX(Grupos!$M$69:$M$74,MATCH(3,Grupos!$O$69:$O$74,0))</f>
        <v>-3</v>
      </c>
      <c r="E11" s="0" t="n">
        <f aca="false">INDEX(Grupos!$K$69:$K$74,MATCH(3,Grupos!$O$69:$O$74,0))</f>
        <v>1</v>
      </c>
      <c r="F11" s="0" t="n">
        <f aca="false">C11*10000000+(D11+100)*10000+E11*10+(11-COUNTIF($B$4:$B$15,"&lt;"&amp;B11))</f>
        <v>10970021</v>
      </c>
      <c r="G11" s="0" t="n">
        <f aca="false">RANK(F11,$F$4:$F$15)</f>
        <v>10</v>
      </c>
      <c r="H11" s="0" t="str">
        <f aca="false">IF(G11&lt;=8,"SÍ","no")</f>
        <v>no</v>
      </c>
    </row>
    <row r="12" customFormat="false" ht="15" hidden="false" customHeight="false" outlineLevel="0" collapsed="false">
      <c r="A12" s="0" t="s">
        <v>108</v>
      </c>
      <c r="B12" s="0" t="str">
        <f aca="false">INDEX(Grupos!$H$78:$H$83,MATCH(3,Grupos!$O$78:$O$83,0))</f>
        <v>Senegal</v>
      </c>
      <c r="C12" s="0" t="n">
        <f aca="false">INDEX(Grupos!$J$78:$J$83,MATCH(3,Grupos!$O$78:$O$83,0))</f>
        <v>1</v>
      </c>
      <c r="D12" s="0" t="n">
        <f aca="false">INDEX(Grupos!$M$78:$M$83,MATCH(3,Grupos!$O$78:$O$83,0))</f>
        <v>-3</v>
      </c>
      <c r="E12" s="0" t="n">
        <f aca="false">INDEX(Grupos!$K$78:$K$83,MATCH(3,Grupos!$O$78:$O$83,0))</f>
        <v>1</v>
      </c>
      <c r="F12" s="0" t="n">
        <f aca="false">C12*10000000+(D12+100)*10000+E12*10+(11-COUNTIF($B$4:$B$15,"&lt;"&amp;B12))</f>
        <v>10970012</v>
      </c>
      <c r="G12" s="0" t="n">
        <f aca="false">RANK(F12,$F$4:$F$15)</f>
        <v>11</v>
      </c>
      <c r="H12" s="0" t="str">
        <f aca="false">IF(G12&lt;=8,"SÍ","no")</f>
        <v>no</v>
      </c>
    </row>
    <row r="13" customFormat="false" ht="15" hidden="false" customHeight="false" outlineLevel="0" collapsed="false">
      <c r="A13" s="0" t="s">
        <v>109</v>
      </c>
      <c r="B13" s="0" t="str">
        <f aca="false">INDEX(Grupos!$H$87:$H$92,MATCH(3,Grupos!$O$87:$O$92,0))</f>
        <v>Austria</v>
      </c>
      <c r="C13" s="0" t="n">
        <f aca="false">INDEX(Grupos!$J$87:$J$92,MATCH(3,Grupos!$O$87:$O$92,0))</f>
        <v>4</v>
      </c>
      <c r="D13" s="0" t="n">
        <f aca="false">INDEX(Grupos!$M$87:$M$92,MATCH(3,Grupos!$O$87:$O$92,0))</f>
        <v>-1</v>
      </c>
      <c r="E13" s="0" t="n">
        <f aca="false">INDEX(Grupos!$K$87:$K$92,MATCH(3,Grupos!$O$87:$O$92,0))</f>
        <v>2</v>
      </c>
      <c r="F13" s="0" t="n">
        <f aca="false">C13*10000000+(D13+100)*10000+E13*10+(11-COUNTIF($B$4:$B$15,"&lt;"&amp;B13))</f>
        <v>40990030</v>
      </c>
      <c r="G13" s="0" t="n">
        <f aca="false">RANK(F13,$F$4:$F$15)</f>
        <v>2</v>
      </c>
      <c r="H13" s="0" t="str">
        <f aca="false">IF(G13&lt;=8,"SÍ","no")</f>
        <v>SÍ</v>
      </c>
    </row>
    <row r="14" customFormat="false" ht="15" hidden="false" customHeight="false" outlineLevel="0" collapsed="false">
      <c r="A14" s="0" t="s">
        <v>110</v>
      </c>
      <c r="B14" s="0" t="str">
        <f aca="false">INDEX(Grupos!$H$96:$H$101,MATCH(3,Grupos!$O$96:$O$101,0))</f>
        <v>RD Congo</v>
      </c>
      <c r="C14" s="0" t="n">
        <f aca="false">INDEX(Grupos!$J$96:$J$101,MATCH(3,Grupos!$O$96:$O$101,0))</f>
        <v>1</v>
      </c>
      <c r="D14" s="0" t="n">
        <f aca="false">INDEX(Grupos!$M$96:$M$101,MATCH(3,Grupos!$O$96:$O$101,0))</f>
        <v>-4</v>
      </c>
      <c r="E14" s="0" t="n">
        <f aca="false">INDEX(Grupos!$K$96:$K$101,MATCH(3,Grupos!$O$96:$O$101,0))</f>
        <v>1</v>
      </c>
      <c r="F14" s="0" t="n">
        <f aca="false">C14*10000000+(D14+100)*10000+E14*10+(11-COUNTIF($B$4:$B$15,"&lt;"&amp;B14))</f>
        <v>10960013</v>
      </c>
      <c r="G14" s="0" t="n">
        <f aca="false">RANK(F14,$F$4:$F$15)</f>
        <v>12</v>
      </c>
      <c r="H14" s="0" t="str">
        <f aca="false">IF(G14&lt;=8,"SÍ","no")</f>
        <v>no</v>
      </c>
    </row>
    <row r="15" customFormat="false" ht="15" hidden="false" customHeight="false" outlineLevel="0" collapsed="false">
      <c r="A15" s="0" t="s">
        <v>111</v>
      </c>
      <c r="B15" s="0" t="str">
        <f aca="false">INDEX(Grupos!$H$105:$H$110,MATCH(3,Grupos!$O$105:$O$110,0))</f>
        <v>Panamá</v>
      </c>
      <c r="C15" s="0" t="n">
        <f aca="false">INDEX(Grupos!$J$105:$J$110,MATCH(3,Grupos!$O$105:$O$110,0))</f>
        <v>3</v>
      </c>
      <c r="D15" s="0" t="n">
        <f aca="false">INDEX(Grupos!$M$105:$M$110,MATCH(3,Grupos!$O$105:$O$110,0))</f>
        <v>-2</v>
      </c>
      <c r="E15" s="0" t="n">
        <f aca="false">INDEX(Grupos!$K$105:$K$110,MATCH(3,Grupos!$O$105:$O$110,0))</f>
        <v>1</v>
      </c>
      <c r="F15" s="0" t="n">
        <f aca="false">C15*10000000+(D15+100)*10000+E15*10+(11-COUNTIF($B$4:$B$15,"&lt;"&amp;B15))</f>
        <v>30980014</v>
      </c>
      <c r="G15" s="0" t="n">
        <f aca="false">RANK(F15,$F$4:$F$15)</f>
        <v>6</v>
      </c>
      <c r="H15" s="0" t="str">
        <f aca="false">IF(G15&lt;=8,"SÍ","no")</f>
        <v>SÍ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8" min="7" style="0" width="5"/>
    <col collapsed="false" customWidth="true" hidden="false" outlineLevel="0" max="9" min="9" style="0" width="20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6" t="s">
        <v>112</v>
      </c>
    </row>
    <row r="2" customFormat="false" ht="15" hidden="false" customHeight="false" outlineLevel="0" collapsed="false">
      <c r="A2" s="0" t="s">
        <v>113</v>
      </c>
    </row>
    <row r="4" customFormat="false" ht="15" hidden="false" customHeight="false" outlineLevel="0" collapsed="false">
      <c r="A4" s="7" t="s">
        <v>3</v>
      </c>
      <c r="B4" s="7" t="s">
        <v>114</v>
      </c>
      <c r="C4" s="7" t="s">
        <v>4</v>
      </c>
      <c r="D4" s="7" t="s">
        <v>115</v>
      </c>
      <c r="E4" s="7" t="s">
        <v>116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117</v>
      </c>
    </row>
    <row r="5" customFormat="false" ht="15" hidden="false" customHeight="false" outlineLevel="0" collapsed="false">
      <c r="A5" s="0" t="n">
        <v>73</v>
      </c>
      <c r="B5" s="0" t="s">
        <v>118</v>
      </c>
      <c r="C5" s="0" t="s">
        <v>119</v>
      </c>
      <c r="D5" s="0" t="s">
        <v>120</v>
      </c>
      <c r="E5" s="0" t="s">
        <v>121</v>
      </c>
      <c r="F5" s="0" t="str">
        <f aca="false">Grupos!$R$87</f>
        <v>Argentina</v>
      </c>
      <c r="G5" s="4" t="n">
        <v>2</v>
      </c>
      <c r="H5" s="4" t="n">
        <v>0</v>
      </c>
      <c r="I5" s="0" t="str">
        <f aca="false">Grupos!$R$70</f>
        <v>Uruguay</v>
      </c>
      <c r="J5" s="5" t="s">
        <v>122</v>
      </c>
    </row>
    <row r="6" customFormat="false" ht="15" hidden="false" customHeight="false" outlineLevel="0" collapsed="false">
      <c r="A6" s="0" t="n">
        <v>74</v>
      </c>
      <c r="B6" s="0" t="s">
        <v>118</v>
      </c>
      <c r="C6" s="0" t="s">
        <v>123</v>
      </c>
      <c r="D6" s="0" t="s">
        <v>124</v>
      </c>
      <c r="E6" s="0" t="s">
        <v>125</v>
      </c>
      <c r="F6" s="0" t="str">
        <f aca="false">Grupos!$R$34</f>
        <v>Australia</v>
      </c>
      <c r="G6" s="4" t="n">
        <v>1</v>
      </c>
      <c r="H6" s="4" t="n">
        <v>2</v>
      </c>
      <c r="I6" s="0" t="str">
        <f aca="false">Grupos!$R$61</f>
        <v>Irán</v>
      </c>
      <c r="J6" s="5" t="s">
        <v>126</v>
      </c>
    </row>
    <row r="7" customFormat="false" ht="15" hidden="false" customHeight="false" outlineLevel="0" collapsed="false">
      <c r="A7" s="0" t="n">
        <v>75</v>
      </c>
      <c r="B7" s="0" t="s">
        <v>118</v>
      </c>
      <c r="C7" s="0" t="s">
        <v>123</v>
      </c>
      <c r="D7" s="0" t="s">
        <v>127</v>
      </c>
      <c r="E7" s="0" t="s">
        <v>128</v>
      </c>
      <c r="F7" s="0" t="str">
        <f aca="false">Grupos!$R$96</f>
        <v>Portugal</v>
      </c>
      <c r="G7" s="4" t="n">
        <v>2</v>
      </c>
      <c r="H7" s="4" t="n">
        <v>0</v>
      </c>
      <c r="I7" s="5" t="s">
        <v>95</v>
      </c>
      <c r="J7" s="5" t="s">
        <v>129</v>
      </c>
    </row>
    <row r="8" customFormat="false" ht="15" hidden="false" customHeight="false" outlineLevel="0" collapsed="false">
      <c r="A8" s="0" t="n">
        <v>76</v>
      </c>
      <c r="B8" s="0" t="s">
        <v>118</v>
      </c>
      <c r="C8" s="0" t="s">
        <v>130</v>
      </c>
      <c r="D8" s="0" t="s">
        <v>131</v>
      </c>
      <c r="E8" s="0" t="s">
        <v>132</v>
      </c>
      <c r="F8" s="0" t="str">
        <f aca="false">Grupos!$R$60</f>
        <v>Bélgica</v>
      </c>
      <c r="G8" s="4" t="n">
        <v>2</v>
      </c>
      <c r="H8" s="4" t="n">
        <v>1</v>
      </c>
      <c r="I8" s="5" t="s">
        <v>22</v>
      </c>
      <c r="J8" s="5" t="s">
        <v>133</v>
      </c>
    </row>
    <row r="9" customFormat="false" ht="15" hidden="false" customHeight="false" outlineLevel="0" collapsed="false">
      <c r="A9" s="0" t="n">
        <v>77</v>
      </c>
      <c r="B9" s="0" t="s">
        <v>118</v>
      </c>
      <c r="C9" s="0" t="s">
        <v>119</v>
      </c>
      <c r="D9" s="0" t="s">
        <v>134</v>
      </c>
      <c r="E9" s="0" t="s">
        <v>135</v>
      </c>
      <c r="F9" s="0" t="str">
        <f aca="false">Grupos!$R$24</f>
        <v>Brasil</v>
      </c>
      <c r="G9" s="4" t="n">
        <v>1</v>
      </c>
      <c r="H9" s="4" t="n">
        <v>0</v>
      </c>
      <c r="I9" s="0" t="str">
        <f aca="false">Grupos!$R$52</f>
        <v>Japón</v>
      </c>
      <c r="J9" s="5" t="s">
        <v>136</v>
      </c>
    </row>
    <row r="10" customFormat="false" ht="15" hidden="false" customHeight="false" outlineLevel="0" collapsed="false">
      <c r="A10" s="0" t="n">
        <v>78</v>
      </c>
      <c r="B10" s="0" t="s">
        <v>118</v>
      </c>
      <c r="C10" s="0" t="s">
        <v>137</v>
      </c>
      <c r="D10" s="0" t="s">
        <v>138</v>
      </c>
      <c r="E10" s="0" t="s">
        <v>139</v>
      </c>
      <c r="F10" s="0" t="str">
        <f aca="false">Grupos!$R$43</f>
        <v>Ecuador</v>
      </c>
      <c r="G10" s="4" t="n">
        <v>2</v>
      </c>
      <c r="H10" s="4" t="n">
        <v>1</v>
      </c>
      <c r="I10" s="0" t="str">
        <f aca="false">Grupos!$R$79</f>
        <v>Noruega</v>
      </c>
      <c r="J10" s="5" t="s">
        <v>140</v>
      </c>
    </row>
    <row r="11" customFormat="false" ht="15" hidden="false" customHeight="false" outlineLevel="0" collapsed="false">
      <c r="A11" s="0" t="n">
        <v>79</v>
      </c>
      <c r="B11" s="0" t="s">
        <v>118</v>
      </c>
      <c r="C11" s="0" t="s">
        <v>130</v>
      </c>
      <c r="D11" s="0" t="s">
        <v>141</v>
      </c>
      <c r="E11" s="0" t="s">
        <v>142</v>
      </c>
      <c r="F11" s="0" t="str">
        <f aca="false">Grupos!$R$105</f>
        <v>Inglaterra</v>
      </c>
      <c r="G11" s="4" t="n">
        <v>2</v>
      </c>
      <c r="H11" s="4" t="n">
        <v>0</v>
      </c>
      <c r="I11" s="5" t="s">
        <v>50</v>
      </c>
      <c r="J11" s="5" t="s">
        <v>143</v>
      </c>
    </row>
    <row r="12" customFormat="false" ht="15" hidden="false" customHeight="false" outlineLevel="0" collapsed="false">
      <c r="A12" s="0" t="n">
        <v>80</v>
      </c>
      <c r="B12" s="0" t="s">
        <v>118</v>
      </c>
      <c r="C12" s="0" t="s">
        <v>137</v>
      </c>
      <c r="D12" s="0" t="s">
        <v>144</v>
      </c>
      <c r="E12" s="0" t="s">
        <v>145</v>
      </c>
      <c r="F12" s="0" t="str">
        <f aca="false">Grupos!$R$6</f>
        <v>México</v>
      </c>
      <c r="G12" s="4" t="n">
        <v>2</v>
      </c>
      <c r="H12" s="4" t="n">
        <v>0</v>
      </c>
      <c r="I12" s="5" t="s">
        <v>38</v>
      </c>
      <c r="J12" s="5" t="s">
        <v>146</v>
      </c>
    </row>
    <row r="13" customFormat="false" ht="15" hidden="false" customHeight="false" outlineLevel="0" collapsed="false">
      <c r="A13" s="0" t="n">
        <v>81</v>
      </c>
      <c r="B13" s="0" t="s">
        <v>118</v>
      </c>
      <c r="C13" s="0" t="s">
        <v>130</v>
      </c>
      <c r="D13" s="0" t="s">
        <v>120</v>
      </c>
      <c r="E13" s="0" t="s">
        <v>147</v>
      </c>
      <c r="F13" s="0" t="str">
        <f aca="false">Grupos!$R$69</f>
        <v>España</v>
      </c>
      <c r="G13" s="4" t="n">
        <v>2</v>
      </c>
      <c r="H13" s="4" t="n">
        <v>0</v>
      </c>
      <c r="I13" s="0" t="str">
        <f aca="false">Grupos!$R$88</f>
        <v>Argelia</v>
      </c>
      <c r="J13" s="5" t="s">
        <v>148</v>
      </c>
    </row>
    <row r="14" customFormat="false" ht="15" hidden="false" customHeight="false" outlineLevel="0" collapsed="false">
      <c r="A14" s="0" t="n">
        <v>82</v>
      </c>
      <c r="B14" s="0" t="s">
        <v>118</v>
      </c>
      <c r="C14" s="0" t="s">
        <v>149</v>
      </c>
      <c r="D14" s="0" t="s">
        <v>120</v>
      </c>
      <c r="E14" s="0" t="s">
        <v>150</v>
      </c>
      <c r="F14" s="0" t="str">
        <f aca="false">Grupos!$R$7</f>
        <v>Corea del Sur</v>
      </c>
      <c r="G14" s="4" t="n">
        <v>1</v>
      </c>
      <c r="H14" s="4" t="n">
        <v>2</v>
      </c>
      <c r="I14" s="0" t="str">
        <f aca="false">Grupos!$R$16</f>
        <v>Suiza</v>
      </c>
      <c r="J14" s="5" t="s">
        <v>151</v>
      </c>
    </row>
    <row r="15" customFormat="false" ht="15" hidden="false" customHeight="false" outlineLevel="0" collapsed="false">
      <c r="A15" s="0" t="n">
        <v>83</v>
      </c>
      <c r="B15" s="0" t="s">
        <v>118</v>
      </c>
      <c r="C15" s="0" t="s">
        <v>119</v>
      </c>
      <c r="D15" s="0" t="s">
        <v>152</v>
      </c>
      <c r="E15" s="0" t="s">
        <v>153</v>
      </c>
      <c r="F15" s="0" t="str">
        <f aca="false">Grupos!$R$51</f>
        <v>Holanda</v>
      </c>
      <c r="G15" s="4" t="n">
        <v>2</v>
      </c>
      <c r="H15" s="4" t="n">
        <v>1</v>
      </c>
      <c r="I15" s="0" t="str">
        <f aca="false">Grupos!$R$25</f>
        <v>Marruecos</v>
      </c>
      <c r="J15" s="5" t="s">
        <v>154</v>
      </c>
    </row>
    <row r="16" customFormat="false" ht="15" hidden="false" customHeight="false" outlineLevel="0" collapsed="false">
      <c r="A16" s="0" t="n">
        <v>84</v>
      </c>
      <c r="B16" s="0" t="s">
        <v>118</v>
      </c>
      <c r="C16" s="0" t="s">
        <v>130</v>
      </c>
      <c r="D16" s="0" t="s">
        <v>155</v>
      </c>
      <c r="E16" s="0" t="s">
        <v>156</v>
      </c>
      <c r="F16" s="0" t="str">
        <f aca="false">Grupos!$R$15</f>
        <v>Canadá</v>
      </c>
      <c r="G16" s="4" t="n">
        <v>2</v>
      </c>
      <c r="H16" s="4" t="n">
        <v>1</v>
      </c>
      <c r="I16" s="5" t="s">
        <v>81</v>
      </c>
      <c r="J16" s="5" t="s">
        <v>157</v>
      </c>
    </row>
    <row r="17" customFormat="false" ht="15" hidden="false" customHeight="false" outlineLevel="0" collapsed="false">
      <c r="A17" s="0" t="n">
        <v>85</v>
      </c>
      <c r="B17" s="0" t="s">
        <v>118</v>
      </c>
      <c r="C17" s="0" t="s">
        <v>137</v>
      </c>
      <c r="D17" s="0" t="s">
        <v>158</v>
      </c>
      <c r="E17" s="0" t="s">
        <v>159</v>
      </c>
      <c r="F17" s="0" t="str">
        <f aca="false">Grupos!$R$78</f>
        <v>Francia</v>
      </c>
      <c r="G17" s="4" t="n">
        <v>2</v>
      </c>
      <c r="H17" s="4" t="n">
        <v>0</v>
      </c>
      <c r="I17" s="5" t="s">
        <v>61</v>
      </c>
      <c r="J17" s="5" t="s">
        <v>160</v>
      </c>
    </row>
    <row r="18" customFormat="false" ht="15" hidden="false" customHeight="false" outlineLevel="0" collapsed="false">
      <c r="A18" s="0" t="n">
        <v>86</v>
      </c>
      <c r="B18" s="0" t="s">
        <v>118</v>
      </c>
      <c r="C18" s="0" t="s">
        <v>161</v>
      </c>
      <c r="D18" s="0" t="s">
        <v>162</v>
      </c>
      <c r="E18" s="0" t="s">
        <v>163</v>
      </c>
      <c r="F18" s="0" t="str">
        <f aca="false">Grupos!$R$97</f>
        <v>Colombia</v>
      </c>
      <c r="G18" s="4" t="n">
        <v>2</v>
      </c>
      <c r="H18" s="4" t="n">
        <v>1</v>
      </c>
      <c r="I18" s="0" t="str">
        <f aca="false">Grupos!$R$106</f>
        <v>Croacia</v>
      </c>
      <c r="J18" s="5" t="s">
        <v>164</v>
      </c>
    </row>
    <row r="19" customFormat="false" ht="15" hidden="false" customHeight="false" outlineLevel="0" collapsed="false">
      <c r="A19" s="0" t="n">
        <v>87</v>
      </c>
      <c r="B19" s="0" t="s">
        <v>118</v>
      </c>
      <c r="C19" s="0" t="s">
        <v>161</v>
      </c>
      <c r="D19" s="0" t="s">
        <v>165</v>
      </c>
      <c r="E19" s="0" t="s">
        <v>166</v>
      </c>
      <c r="F19" s="0" t="str">
        <f aca="false">Grupos!$R$42</f>
        <v>Alemania</v>
      </c>
      <c r="G19" s="4" t="n">
        <v>1</v>
      </c>
      <c r="H19" s="4" t="n">
        <v>0</v>
      </c>
      <c r="I19" s="5" t="s">
        <v>44</v>
      </c>
      <c r="J19" s="5" t="s">
        <v>167</v>
      </c>
    </row>
    <row r="20" customFormat="false" ht="15" hidden="false" customHeight="false" outlineLevel="0" collapsed="false">
      <c r="A20" s="0" t="n">
        <v>88</v>
      </c>
      <c r="B20" s="0" t="s">
        <v>118</v>
      </c>
      <c r="C20" s="0" t="s">
        <v>123</v>
      </c>
      <c r="D20" s="0" t="s">
        <v>168</v>
      </c>
      <c r="E20" s="0" t="s">
        <v>169</v>
      </c>
      <c r="F20" s="0" t="str">
        <f aca="false">Grupos!$R$33</f>
        <v>Estados Unidos</v>
      </c>
      <c r="G20" s="4" t="n">
        <v>1</v>
      </c>
      <c r="H20" s="4" t="n">
        <v>0</v>
      </c>
      <c r="I20" s="5" t="s">
        <v>56</v>
      </c>
      <c r="J20" s="5" t="s">
        <v>170</v>
      </c>
    </row>
    <row r="21" customFormat="false" ht="15" hidden="false" customHeight="false" outlineLevel="0" collapsed="false">
      <c r="A21" s="0" t="n">
        <v>89</v>
      </c>
      <c r="B21" s="0" t="s">
        <v>171</v>
      </c>
      <c r="C21" s="0" t="s">
        <v>172</v>
      </c>
      <c r="D21" s="0" t="s">
        <v>134</v>
      </c>
      <c r="E21" s="0" t="s">
        <v>173</v>
      </c>
      <c r="F21" s="0" t="str">
        <f aca="false">IF(G5&gt;H5,F5,I5)</f>
        <v>Argentina</v>
      </c>
      <c r="G21" s="4" t="n">
        <v>2</v>
      </c>
      <c r="H21" s="4" t="n">
        <v>0</v>
      </c>
      <c r="I21" s="0" t="str">
        <f aca="false">IF(G6&gt;H6,F6,I6)</f>
        <v>Irán</v>
      </c>
      <c r="J21" s="5" t="s">
        <v>174</v>
      </c>
    </row>
    <row r="22" customFormat="false" ht="15" hidden="false" customHeight="false" outlineLevel="0" collapsed="false">
      <c r="A22" s="0" t="n">
        <v>90</v>
      </c>
      <c r="B22" s="0" t="s">
        <v>171</v>
      </c>
      <c r="C22" s="0" t="s">
        <v>172</v>
      </c>
      <c r="D22" s="0" t="s">
        <v>127</v>
      </c>
      <c r="E22" s="0" t="s">
        <v>175</v>
      </c>
      <c r="F22" s="0" t="str">
        <f aca="false">IF(G7&gt;H7,F7,I7)</f>
        <v>Portugal</v>
      </c>
      <c r="G22" s="4" t="n">
        <v>1</v>
      </c>
      <c r="H22" s="4" t="n">
        <v>0</v>
      </c>
      <c r="I22" s="0" t="str">
        <f aca="false">IF(G8&gt;H8,F8,I8)</f>
        <v>Bélgica</v>
      </c>
      <c r="J22" s="5" t="s">
        <v>176</v>
      </c>
    </row>
    <row r="23" customFormat="false" ht="15" hidden="false" customHeight="false" outlineLevel="0" collapsed="false">
      <c r="A23" s="0" t="n">
        <v>91</v>
      </c>
      <c r="B23" s="0" t="s">
        <v>171</v>
      </c>
      <c r="C23" s="0" t="s">
        <v>177</v>
      </c>
      <c r="D23" s="0" t="s">
        <v>158</v>
      </c>
      <c r="E23" s="0" t="s">
        <v>178</v>
      </c>
      <c r="F23" s="0" t="str">
        <f aca="false">IF(G9&gt;H9,F9,I9)</f>
        <v>Brasil</v>
      </c>
      <c r="G23" s="4" t="n">
        <v>2</v>
      </c>
      <c r="H23" s="4" t="n">
        <v>1</v>
      </c>
      <c r="I23" s="0" t="str">
        <f aca="false">IF(G10&gt;H10,F10,I10)</f>
        <v>Ecuador</v>
      </c>
      <c r="J23" s="5" t="s">
        <v>179</v>
      </c>
    </row>
    <row r="24" customFormat="false" ht="15" hidden="false" customHeight="false" outlineLevel="0" collapsed="false">
      <c r="A24" s="0" t="n">
        <v>92</v>
      </c>
      <c r="B24" s="0" t="s">
        <v>171</v>
      </c>
      <c r="C24" s="0" t="s">
        <v>177</v>
      </c>
      <c r="D24" s="0" t="s">
        <v>144</v>
      </c>
      <c r="E24" s="0" t="s">
        <v>180</v>
      </c>
      <c r="F24" s="0" t="str">
        <f aca="false">IF(G11&gt;H11,F11,I11)</f>
        <v>Inglaterra</v>
      </c>
      <c r="G24" s="4" t="n">
        <v>2</v>
      </c>
      <c r="H24" s="4" t="n">
        <v>1</v>
      </c>
      <c r="I24" s="0" t="str">
        <f aca="false">IF(G12&gt;H12,F12,I12)</f>
        <v>México</v>
      </c>
      <c r="J24" s="5" t="s">
        <v>181</v>
      </c>
    </row>
    <row r="25" customFormat="false" ht="15" hidden="false" customHeight="false" outlineLevel="0" collapsed="false">
      <c r="A25" s="0" t="n">
        <v>93</v>
      </c>
      <c r="B25" s="0" t="s">
        <v>171</v>
      </c>
      <c r="C25" s="0" t="s">
        <v>182</v>
      </c>
      <c r="D25" s="0" t="s">
        <v>124</v>
      </c>
      <c r="E25" s="0" t="s">
        <v>183</v>
      </c>
      <c r="F25" s="0" t="str">
        <f aca="false">IF(G13&gt;H13,F13,I13)</f>
        <v>España</v>
      </c>
      <c r="G25" s="4" t="n">
        <v>2</v>
      </c>
      <c r="H25" s="4" t="n">
        <v>0</v>
      </c>
      <c r="I25" s="0" t="str">
        <f aca="false">IF(G14&gt;H14,F14,I14)</f>
        <v>Suiza</v>
      </c>
      <c r="J25" s="5" t="s">
        <v>184</v>
      </c>
    </row>
    <row r="26" customFormat="false" ht="15" hidden="false" customHeight="false" outlineLevel="0" collapsed="false">
      <c r="A26" s="0" t="n">
        <v>94</v>
      </c>
      <c r="B26" s="0" t="s">
        <v>171</v>
      </c>
      <c r="C26" s="0" t="s">
        <v>182</v>
      </c>
      <c r="D26" s="0" t="s">
        <v>165</v>
      </c>
      <c r="E26" s="0" t="s">
        <v>185</v>
      </c>
      <c r="F26" s="0" t="str">
        <f aca="false">IF(G15&gt;H15,F15,I15)</f>
        <v>Holanda</v>
      </c>
      <c r="G26" s="4" t="n">
        <v>1</v>
      </c>
      <c r="H26" s="4" t="n">
        <v>0</v>
      </c>
      <c r="I26" s="0" t="str">
        <f aca="false">IF(G16&gt;H16,F16,I16)</f>
        <v>Canadá</v>
      </c>
      <c r="J26" s="5" t="s">
        <v>186</v>
      </c>
    </row>
    <row r="27" customFormat="false" ht="15" hidden="false" customHeight="false" outlineLevel="0" collapsed="false">
      <c r="A27" s="0" t="n">
        <v>95</v>
      </c>
      <c r="B27" s="0" t="s">
        <v>171</v>
      </c>
      <c r="C27" s="0" t="s">
        <v>187</v>
      </c>
      <c r="D27" s="0" t="s">
        <v>162</v>
      </c>
      <c r="E27" s="0" t="s">
        <v>188</v>
      </c>
      <c r="F27" s="0" t="str">
        <f aca="false">IF(G17&gt;H17,F17,I17)</f>
        <v>Francia</v>
      </c>
      <c r="G27" s="4" t="n">
        <v>2</v>
      </c>
      <c r="H27" s="4" t="n">
        <v>1</v>
      </c>
      <c r="I27" s="0" t="str">
        <f aca="false">IF(G18&gt;H18,F18,I18)</f>
        <v>Colombia</v>
      </c>
      <c r="J27" s="5" t="s">
        <v>189</v>
      </c>
    </row>
    <row r="28" customFormat="false" ht="15" hidden="false" customHeight="false" outlineLevel="0" collapsed="false">
      <c r="A28" s="0" t="n">
        <v>96</v>
      </c>
      <c r="B28" s="0" t="s">
        <v>171</v>
      </c>
      <c r="C28" s="0" t="s">
        <v>187</v>
      </c>
      <c r="D28" s="0" t="s">
        <v>155</v>
      </c>
      <c r="E28" s="0" t="s">
        <v>190</v>
      </c>
      <c r="F28" s="0" t="str">
        <f aca="false">IF(G19&gt;H19,F19,I19)</f>
        <v>Alemania</v>
      </c>
      <c r="G28" s="4" t="n">
        <v>2</v>
      </c>
      <c r="H28" s="4" t="n">
        <v>1</v>
      </c>
      <c r="I28" s="0" t="str">
        <f aca="false">IF(G20&gt;H20,F20,I20)</f>
        <v>Estados Unidos</v>
      </c>
      <c r="J28" s="5" t="s">
        <v>191</v>
      </c>
    </row>
    <row r="29" customFormat="false" ht="15" hidden="false" customHeight="false" outlineLevel="0" collapsed="false">
      <c r="A29" s="0" t="n">
        <v>97</v>
      </c>
      <c r="B29" s="0" t="s">
        <v>192</v>
      </c>
      <c r="C29" s="0" t="s">
        <v>193</v>
      </c>
      <c r="D29" s="0" t="s">
        <v>168</v>
      </c>
      <c r="E29" s="0" t="s">
        <v>194</v>
      </c>
      <c r="F29" s="0" t="str">
        <f aca="false">IF(G21&gt;H21,F21,I21)</f>
        <v>Argentina</v>
      </c>
      <c r="G29" s="4" t="n">
        <v>2</v>
      </c>
      <c r="H29" s="4" t="n">
        <v>1</v>
      </c>
      <c r="I29" s="0" t="str">
        <f aca="false">IF(G22&gt;H22,F22,I22)</f>
        <v>Portugal</v>
      </c>
      <c r="J29" s="5" t="s">
        <v>195</v>
      </c>
    </row>
    <row r="30" customFormat="false" ht="15" hidden="false" customHeight="false" outlineLevel="0" collapsed="false">
      <c r="A30" s="0" t="n">
        <v>98</v>
      </c>
      <c r="B30" s="0" t="s">
        <v>192</v>
      </c>
      <c r="C30" s="0" t="s">
        <v>193</v>
      </c>
      <c r="D30" s="0" t="s">
        <v>196</v>
      </c>
      <c r="E30" s="0" t="s">
        <v>197</v>
      </c>
      <c r="F30" s="0" t="str">
        <f aca="false">IF(G23&gt;H23,F23,I23)</f>
        <v>Brasil</v>
      </c>
      <c r="G30" s="4" t="n">
        <v>1</v>
      </c>
      <c r="H30" s="4" t="n">
        <v>2</v>
      </c>
      <c r="I30" s="0" t="str">
        <f aca="false">IF(G24&gt;H24,F24,I24)</f>
        <v>Inglaterra</v>
      </c>
      <c r="J30" s="5" t="s">
        <v>198</v>
      </c>
    </row>
    <row r="31" customFormat="false" ht="15" hidden="false" customHeight="false" outlineLevel="0" collapsed="false">
      <c r="A31" s="0" t="n">
        <v>99</v>
      </c>
      <c r="B31" s="0" t="s">
        <v>192</v>
      </c>
      <c r="C31" s="0" t="s">
        <v>199</v>
      </c>
      <c r="D31" s="0" t="s">
        <v>141</v>
      </c>
      <c r="E31" s="0" t="s">
        <v>200</v>
      </c>
      <c r="F31" s="0" t="str">
        <f aca="false">IF(G25&gt;H25,F25,I25)</f>
        <v>España</v>
      </c>
      <c r="G31" s="4" t="n">
        <v>1</v>
      </c>
      <c r="H31" s="4" t="n">
        <v>0</v>
      </c>
      <c r="I31" s="0" t="str">
        <f aca="false">IF(G26&gt;H26,F26,I26)</f>
        <v>Holanda</v>
      </c>
      <c r="J31" s="5" t="s">
        <v>201</v>
      </c>
    </row>
    <row r="32" customFormat="false" ht="15" hidden="false" customHeight="false" outlineLevel="0" collapsed="false">
      <c r="A32" s="0" t="n">
        <v>100</v>
      </c>
      <c r="B32" s="0" t="s">
        <v>192</v>
      </c>
      <c r="C32" s="0" t="s">
        <v>202</v>
      </c>
      <c r="D32" s="0" t="s">
        <v>120</v>
      </c>
      <c r="E32" s="0" t="s">
        <v>203</v>
      </c>
      <c r="F32" s="0" t="str">
        <f aca="false">IF(G27&gt;H27,F27,I27)</f>
        <v>Francia</v>
      </c>
      <c r="G32" s="4" t="n">
        <v>2</v>
      </c>
      <c r="H32" s="4" t="n">
        <v>1</v>
      </c>
      <c r="I32" s="0" t="str">
        <f aca="false">IF(G28&gt;H28,F28,I28)</f>
        <v>Alemania</v>
      </c>
      <c r="J32" s="5" t="s">
        <v>204</v>
      </c>
    </row>
    <row r="33" customFormat="false" ht="15" hidden="false" customHeight="false" outlineLevel="0" collapsed="false">
      <c r="A33" s="0" t="n">
        <v>101</v>
      </c>
      <c r="B33" s="0" t="s">
        <v>205</v>
      </c>
      <c r="C33" s="0" t="s">
        <v>206</v>
      </c>
      <c r="D33" s="0" t="s">
        <v>162</v>
      </c>
      <c r="E33" s="0" t="s">
        <v>207</v>
      </c>
      <c r="F33" s="0" t="str">
        <f aca="false">IF(G29&gt;H29,F29,I29)</f>
        <v>Argentina</v>
      </c>
      <c r="G33" s="4" t="n">
        <v>2</v>
      </c>
      <c r="H33" s="4" t="n">
        <v>1</v>
      </c>
      <c r="I33" s="0" t="str">
        <f aca="false">IF(G30&gt;H30,F30,I30)</f>
        <v>Inglaterra</v>
      </c>
      <c r="J33" s="5" t="s">
        <v>208</v>
      </c>
    </row>
    <row r="34" customFormat="false" ht="15" hidden="false" customHeight="false" outlineLevel="0" collapsed="false">
      <c r="A34" s="0" t="n">
        <v>102</v>
      </c>
      <c r="B34" s="0" t="s">
        <v>205</v>
      </c>
      <c r="C34" s="0" t="s">
        <v>209</v>
      </c>
      <c r="D34" s="0" t="s">
        <v>124</v>
      </c>
      <c r="E34" s="0" t="s">
        <v>210</v>
      </c>
      <c r="F34" s="0" t="str">
        <f aca="false">IF(G31&gt;H31,F31,I31)</f>
        <v>España</v>
      </c>
      <c r="G34" s="4" t="n">
        <v>2</v>
      </c>
      <c r="H34" s="4" t="n">
        <v>1</v>
      </c>
      <c r="I34" s="0" t="str">
        <f aca="false">IF(G32&gt;H32,F32,I32)</f>
        <v>Francia</v>
      </c>
      <c r="J34" s="5" t="s">
        <v>211</v>
      </c>
    </row>
    <row r="35" customFormat="false" ht="15" hidden="false" customHeight="false" outlineLevel="0" collapsed="false">
      <c r="A35" s="0" t="n">
        <v>103</v>
      </c>
      <c r="B35" s="0" t="s">
        <v>212</v>
      </c>
      <c r="C35" s="0" t="s">
        <v>213</v>
      </c>
      <c r="D35" s="0" t="s">
        <v>196</v>
      </c>
      <c r="E35" s="0" t="s">
        <v>214</v>
      </c>
      <c r="F35" s="0" t="str">
        <f aca="false">IF(G33&gt;H33,I33,F33)</f>
        <v>Inglaterra</v>
      </c>
      <c r="G35" s="4" t="n">
        <v>1</v>
      </c>
      <c r="H35" s="4" t="n">
        <v>2</v>
      </c>
      <c r="I35" s="0" t="str">
        <f aca="false">IF(G34&gt;H34,I34,F34)</f>
        <v>Francia</v>
      </c>
      <c r="J35" s="5" t="s">
        <v>215</v>
      </c>
    </row>
    <row r="36" customFormat="false" ht="15" hidden="false" customHeight="false" outlineLevel="0" collapsed="false">
      <c r="A36" s="0" t="n">
        <v>104</v>
      </c>
      <c r="B36" s="0" t="s">
        <v>216</v>
      </c>
      <c r="C36" s="0" t="s">
        <v>217</v>
      </c>
      <c r="D36" s="0" t="s">
        <v>158</v>
      </c>
      <c r="E36" s="0" t="s">
        <v>218</v>
      </c>
      <c r="F36" s="0" t="str">
        <f aca="false">IF(G33&gt;H33,F33,I33)</f>
        <v>Argentina</v>
      </c>
      <c r="G36" s="4" t="n">
        <v>1</v>
      </c>
      <c r="H36" s="4" t="n">
        <v>2</v>
      </c>
      <c r="I36" s="0" t="str">
        <f aca="false">IF(G34&gt;H34,F34,I34)</f>
        <v>España</v>
      </c>
      <c r="J36" s="5" t="s">
        <v>219</v>
      </c>
    </row>
    <row r="38" customFormat="false" ht="15" hidden="false" customHeight="false" outlineLevel="0" collapsed="false">
      <c r="A38" s="8" t="s">
        <v>220</v>
      </c>
      <c r="B38" s="0" t="str">
        <f aca="false">IF(G36&gt;H36,F36,I36)</f>
        <v>España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6" t="s">
        <v>221</v>
      </c>
    </row>
    <row r="3" customFormat="false" ht="15" hidden="false" customHeight="false" outlineLevel="0" collapsed="false">
      <c r="A3" s="0" t="s">
        <v>222</v>
      </c>
      <c r="B3" s="4" t="s">
        <v>223</v>
      </c>
    </row>
    <row r="4" customFormat="false" ht="15" hidden="false" customHeight="false" outlineLevel="0" collapsed="false">
      <c r="A4" s="0" t="s">
        <v>224</v>
      </c>
      <c r="B4" s="4" t="s">
        <v>49</v>
      </c>
    </row>
    <row r="6" customFormat="false" ht="15" hidden="false" customHeight="false" outlineLevel="0" collapsed="false">
      <c r="A6" s="8" t="s">
        <v>225</v>
      </c>
    </row>
    <row r="7" customFormat="false" ht="15" hidden="false" customHeight="false" outlineLevel="0" collapsed="false">
      <c r="A7" s="0" t="s">
        <v>226</v>
      </c>
    </row>
    <row r="8" customFormat="false" ht="15" hidden="false" customHeight="false" outlineLevel="0" collapsed="false">
      <c r="A8" s="0" t="s">
        <v>227</v>
      </c>
    </row>
    <row r="9" customFormat="false" ht="15" hidden="false" customHeight="false" outlineLevel="0" collapsed="false">
      <c r="A9" s="0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2026-06-11T05:44:49Z</dcterms:created>
  <dc:creator>openpyxl</dc:creator>
  <dc:description/>
  <dc:language>en-US</dc:language>
  <cp:lastModifiedBy/>
  <dcterms:modified xsi:type="dcterms:W3CDTF">2026-06-11T05:44:49Z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