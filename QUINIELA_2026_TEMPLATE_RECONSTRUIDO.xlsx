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s" sheetId="1" state="visible" r:id="rId1"/>
    <sheet name="Terceros" sheetId="2" state="visible" r:id="rId2"/>
    <sheet name="Bracket" sheetId="3" state="visible" r:id="rId3"/>
    <sheet name="Ext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20" customWidth="1" min="3" max="3"/>
    <col width="5" customWidth="1" min="4" max="4"/>
    <col width="5" customWidth="1" min="5" max="5"/>
    <col width="20" customWidth="1" min="6" max="6"/>
    <col width="20" customWidth="1" min="8" max="8"/>
    <col width="5" customWidth="1" min="9" max="9"/>
    <col width="5" customWidth="1" min="10" max="10"/>
    <col width="5" customWidth="1" min="11" max="11"/>
    <col width="5" customWidth="1" min="12" max="12"/>
    <col width="6" customWidth="1" min="13" max="13"/>
    <col width="13" customWidth="1" min="14" max="14"/>
    <col width="5" customWidth="1" min="15" max="15"/>
    <col width="4" customWidth="1" min="17" max="17"/>
    <col width="20" customWidth="1" min="18" max="18"/>
  </cols>
  <sheetData>
    <row r="1">
      <c r="A1" s="1" t="inlineStr">
        <is>
          <t>QUINIELA MUNDIAL 2026 — FASE DE GRUPOS (llena SOLO las columnas D y E)</t>
        </is>
      </c>
    </row>
    <row r="2">
      <c r="A2" t="inlineStr">
        <is>
          <t>Posiciones AUTO-CALCULADAS: pts → dif → GF → alfabético. NO editar columnas H-Q. Template reconstruido 11-jun-2026 (ver data/estructura_torneo.md).</t>
        </is>
      </c>
    </row>
    <row r="4">
      <c r="A4" s="2" t="inlineStr">
        <is>
          <t>GRUPO A</t>
        </is>
      </c>
    </row>
    <row r="5">
      <c r="A5" s="3" t="inlineStr">
        <is>
          <t>#</t>
        </is>
      </c>
      <c r="B5" s="3" t="inlineStr">
        <is>
          <t>Fecha</t>
        </is>
      </c>
      <c r="C5" s="3" t="inlineStr">
        <is>
          <t>Local</t>
        </is>
      </c>
      <c r="D5" s="3" t="inlineStr">
        <is>
          <t>GL</t>
        </is>
      </c>
      <c r="E5" s="3" t="inlineStr">
        <is>
          <t>GV</t>
        </is>
      </c>
      <c r="F5" s="3" t="inlineStr">
        <is>
          <t>Visitante</t>
        </is>
      </c>
      <c r="H5" s="3" t="inlineStr">
        <is>
          <t>Equipo</t>
        </is>
      </c>
      <c r="I5" s="3" t="inlineStr">
        <is>
          <t>PJ</t>
        </is>
      </c>
      <c r="J5" s="3" t="inlineStr">
        <is>
          <t>Pts</t>
        </is>
      </c>
      <c r="K5" s="3" t="inlineStr">
        <is>
          <t>GF</t>
        </is>
      </c>
      <c r="L5" s="3" t="inlineStr">
        <is>
          <t>GC</t>
        </is>
      </c>
      <c r="M5" s="3" t="inlineStr">
        <is>
          <t>Dif</t>
        </is>
      </c>
      <c r="N5" s="3" t="inlineStr">
        <is>
          <t>Score</t>
        </is>
      </c>
      <c r="O5" s="3" t="inlineStr">
        <is>
          <t>Pos</t>
        </is>
      </c>
    </row>
    <row r="6">
      <c r="A6" t="n">
        <v>1</v>
      </c>
      <c r="B6" t="inlineStr">
        <is>
          <t>2026-06-11</t>
        </is>
      </c>
      <c r="C6" t="inlineStr">
        <is>
          <t>México</t>
        </is>
      </c>
      <c r="D6" s="4" t="n"/>
      <c r="E6" s="4" t="n"/>
      <c r="F6" t="inlineStr">
        <is>
          <t>Sudáfrica</t>
        </is>
      </c>
      <c r="H6" t="inlineStr">
        <is>
          <t>México</t>
        </is>
      </c>
      <c r="I6">
        <f>SUMPRODUCT(($C$6:$C$11=$H6)*($D$6:$D$11&lt;&gt;"")*($E$6:$E$11&lt;&gt;""))+SUMPRODUCT(($F$6:$F$11=$H6)*($D$6:$D$11&lt;&gt;"")*($E$6:$E$11&lt;&gt;""))</f>
        <v/>
      </c>
      <c r="J6">
        <f>SUMPRODUCT(($C$6:$C$11=$H6)*($D$6:$D$11&lt;&gt;"")*($E$6:$E$11&lt;&gt;"")*($D$6:$D$11&gt;$E$6:$E$11))*3+SUMPRODUCT(($F$6:$F$11=$H6)*($D$6:$D$11&lt;&gt;"")*($E$6:$E$11&lt;&gt;"")*($E$6:$E$11&gt;$D$6:$D$11))*3+SUMPRODUCT((($C$6:$C$11=$H6)+($F$6:$F$11=$H6))*($D$6:$D$11&lt;&gt;"")*($E$6:$E$11&lt;&gt;"")*($D$6:$D$11=$E$6:$E$11))</f>
        <v/>
      </c>
      <c r="K6">
        <f>SUMPRODUCT(($C$6:$C$11=$H6)*($D$6:$D$11&lt;&gt;"")*($E$6:$E$11&lt;&gt;"")*$D$6:$D$11)+SUMPRODUCT(($F$6:$F$11=$H6)*($D$6:$D$11&lt;&gt;"")*($E$6:$E$11&lt;&gt;"")*$E$6:$E$11)</f>
        <v/>
      </c>
      <c r="L6">
        <f>SUMPRODUCT(($C$6:$C$11=$H6)*($D$6:$D$11&lt;&gt;"")*($E$6:$E$11&lt;&gt;"")*$E$6:$E$11)+SUMPRODUCT(($F$6:$F$11=$H6)*($D$6:$D$11&lt;&gt;"")*($E$6:$E$11&lt;&gt;"")*$D$6:$D$11)</f>
        <v/>
      </c>
      <c r="M6">
        <f>K6-L6</f>
        <v/>
      </c>
      <c r="N6">
        <f>J6*10000000+(M6+100)*10000+K6*10+(3-COUNTIF($H$6:$H$11,"&lt;"&amp;H6))</f>
        <v/>
      </c>
      <c r="O6">
        <f>RANK(N6,$N$6:$N$11)</f>
        <v/>
      </c>
      <c r="Q6" t="inlineStr">
        <is>
          <t>1°:</t>
        </is>
      </c>
      <c r="R6">
        <f>INDEX($H$6:$H$11,MATCH(1,$O$6:$O$11,0))</f>
        <v/>
      </c>
    </row>
    <row r="7">
      <c r="A7" t="n">
        <v>2</v>
      </c>
      <c r="B7" t="inlineStr">
        <is>
          <t>2026-06-11</t>
        </is>
      </c>
      <c r="C7" t="inlineStr">
        <is>
          <t>Corea del Sur</t>
        </is>
      </c>
      <c r="D7" s="4" t="n"/>
      <c r="E7" s="4" t="n"/>
      <c r="F7" t="inlineStr">
        <is>
          <t>Chequia</t>
        </is>
      </c>
      <c r="H7" t="inlineStr">
        <is>
          <t>Sudáfrica</t>
        </is>
      </c>
      <c r="I7">
        <f>SUMPRODUCT(($C$6:$C$11=$H7)*($D$6:$D$11&lt;&gt;"")*($E$6:$E$11&lt;&gt;""))+SUMPRODUCT(($F$6:$F$11=$H7)*($D$6:$D$11&lt;&gt;"")*($E$6:$E$11&lt;&gt;""))</f>
        <v/>
      </c>
      <c r="J7">
        <f>SUMPRODUCT(($C$6:$C$11=$H7)*($D$6:$D$11&lt;&gt;"")*($E$6:$E$11&lt;&gt;"")*($D$6:$D$11&gt;$E$6:$E$11))*3+SUMPRODUCT(($F$6:$F$11=$H7)*($D$6:$D$11&lt;&gt;"")*($E$6:$E$11&lt;&gt;"")*($E$6:$E$11&gt;$D$6:$D$11))*3+SUMPRODUCT((($C$6:$C$11=$H7)+($F$6:$F$11=$H7))*($D$6:$D$11&lt;&gt;"")*($E$6:$E$11&lt;&gt;"")*($D$6:$D$11=$E$6:$E$11))</f>
        <v/>
      </c>
      <c r="K7">
        <f>SUMPRODUCT(($C$6:$C$11=$H7)*($D$6:$D$11&lt;&gt;"")*($E$6:$E$11&lt;&gt;"")*$D$6:$D$11)+SUMPRODUCT(($F$6:$F$11=$H7)*($D$6:$D$11&lt;&gt;"")*($E$6:$E$11&lt;&gt;"")*$E$6:$E$11)</f>
        <v/>
      </c>
      <c r="L7">
        <f>SUMPRODUCT(($C$6:$C$11=$H7)*($D$6:$D$11&lt;&gt;"")*($E$6:$E$11&lt;&gt;"")*$E$6:$E$11)+SUMPRODUCT(($F$6:$F$11=$H7)*($D$6:$D$11&lt;&gt;"")*($E$6:$E$11&lt;&gt;"")*$D$6:$D$11)</f>
        <v/>
      </c>
      <c r="M7">
        <f>K7-L7</f>
        <v/>
      </c>
      <c r="N7">
        <f>J7*10000000+(M7+100)*10000+K7*10+(3-COUNTIF($H$6:$H$11,"&lt;"&amp;H7))</f>
        <v/>
      </c>
      <c r="O7">
        <f>RANK(N7,$N$6:$N$11)</f>
        <v/>
      </c>
      <c r="Q7" t="inlineStr">
        <is>
          <t>2°:</t>
        </is>
      </c>
      <c r="R7">
        <f>INDEX($H$6:$H$11,MATCH(2,$O$6:$O$11,0))</f>
        <v/>
      </c>
    </row>
    <row r="8">
      <c r="A8" t="n">
        <v>25</v>
      </c>
      <c r="B8" t="inlineStr">
        <is>
          <t>2026-06-18</t>
        </is>
      </c>
      <c r="C8" t="inlineStr">
        <is>
          <t>Chequia</t>
        </is>
      </c>
      <c r="D8" s="4" t="n"/>
      <c r="E8" s="4" t="n"/>
      <c r="F8" t="inlineStr">
        <is>
          <t>Sudáfrica</t>
        </is>
      </c>
      <c r="H8" t="inlineStr">
        <is>
          <t>Corea del Sur</t>
        </is>
      </c>
      <c r="I8">
        <f>SUMPRODUCT(($C$6:$C$11=$H8)*($D$6:$D$11&lt;&gt;"")*($E$6:$E$11&lt;&gt;""))+SUMPRODUCT(($F$6:$F$11=$H8)*($D$6:$D$11&lt;&gt;"")*($E$6:$E$11&lt;&gt;""))</f>
        <v/>
      </c>
      <c r="J8">
        <f>SUMPRODUCT(($C$6:$C$11=$H8)*($D$6:$D$11&lt;&gt;"")*($E$6:$E$11&lt;&gt;"")*($D$6:$D$11&gt;$E$6:$E$11))*3+SUMPRODUCT(($F$6:$F$11=$H8)*($D$6:$D$11&lt;&gt;"")*($E$6:$E$11&lt;&gt;"")*($E$6:$E$11&gt;$D$6:$D$11))*3+SUMPRODUCT((($C$6:$C$11=$H8)+($F$6:$F$11=$H8))*($D$6:$D$11&lt;&gt;"")*($E$6:$E$11&lt;&gt;"")*($D$6:$D$11=$E$6:$E$11))</f>
        <v/>
      </c>
      <c r="K8">
        <f>SUMPRODUCT(($C$6:$C$11=$H8)*($D$6:$D$11&lt;&gt;"")*($E$6:$E$11&lt;&gt;"")*$D$6:$D$11)+SUMPRODUCT(($F$6:$F$11=$H8)*($D$6:$D$11&lt;&gt;"")*($E$6:$E$11&lt;&gt;"")*$E$6:$E$11)</f>
        <v/>
      </c>
      <c r="L8">
        <f>SUMPRODUCT(($C$6:$C$11=$H8)*($D$6:$D$11&lt;&gt;"")*($E$6:$E$11&lt;&gt;"")*$E$6:$E$11)+SUMPRODUCT(($F$6:$F$11=$H8)*($D$6:$D$11&lt;&gt;"")*($E$6:$E$11&lt;&gt;"")*$D$6:$D$11)</f>
        <v/>
      </c>
      <c r="M8">
        <f>K8-L8</f>
        <v/>
      </c>
      <c r="N8">
        <f>J8*10000000+(M8+100)*10000+K8*10+(3-COUNTIF($H$6:$H$11,"&lt;"&amp;H8))</f>
        <v/>
      </c>
      <c r="O8">
        <f>RANK(N8,$N$6:$N$11)</f>
        <v/>
      </c>
      <c r="Q8" t="inlineStr">
        <is>
          <t>3°:</t>
        </is>
      </c>
      <c r="R8">
        <f>INDEX($H$6:$H$11,MATCH(3,$O$6:$O$11,0))</f>
        <v/>
      </c>
    </row>
    <row r="9">
      <c r="A9" t="n">
        <v>26</v>
      </c>
      <c r="B9" t="inlineStr">
        <is>
          <t>2026-06-18</t>
        </is>
      </c>
      <c r="C9" t="inlineStr">
        <is>
          <t>México</t>
        </is>
      </c>
      <c r="D9" s="4" t="n"/>
      <c r="E9" s="4" t="n"/>
      <c r="F9" t="inlineStr">
        <is>
          <t>Corea del Sur</t>
        </is>
      </c>
      <c r="H9" t="inlineStr">
        <is>
          <t>Chequia</t>
        </is>
      </c>
      <c r="I9">
        <f>SUMPRODUCT(($C$6:$C$11=$H9)*($D$6:$D$11&lt;&gt;"")*($E$6:$E$11&lt;&gt;""))+SUMPRODUCT(($F$6:$F$11=$H9)*($D$6:$D$11&lt;&gt;"")*($E$6:$E$11&lt;&gt;""))</f>
        <v/>
      </c>
      <c r="J9">
        <f>SUMPRODUCT(($C$6:$C$11=$H9)*($D$6:$D$11&lt;&gt;"")*($E$6:$E$11&lt;&gt;"")*($D$6:$D$11&gt;$E$6:$E$11))*3+SUMPRODUCT(($F$6:$F$11=$H9)*($D$6:$D$11&lt;&gt;"")*($E$6:$E$11&lt;&gt;"")*($E$6:$E$11&gt;$D$6:$D$11))*3+SUMPRODUCT((($C$6:$C$11=$H9)+($F$6:$F$11=$H9))*($D$6:$D$11&lt;&gt;"")*($E$6:$E$11&lt;&gt;"")*($D$6:$D$11=$E$6:$E$11))</f>
        <v/>
      </c>
      <c r="K9">
        <f>SUMPRODUCT(($C$6:$C$11=$H9)*($D$6:$D$11&lt;&gt;"")*($E$6:$E$11&lt;&gt;"")*$D$6:$D$11)+SUMPRODUCT(($F$6:$F$11=$H9)*($D$6:$D$11&lt;&gt;"")*($E$6:$E$11&lt;&gt;"")*$E$6:$E$11)</f>
        <v/>
      </c>
      <c r="L9">
        <f>SUMPRODUCT(($C$6:$C$11=$H9)*($D$6:$D$11&lt;&gt;"")*($E$6:$E$11&lt;&gt;"")*$E$6:$E$11)+SUMPRODUCT(($F$6:$F$11=$H9)*($D$6:$D$11&lt;&gt;"")*($E$6:$E$11&lt;&gt;"")*$D$6:$D$11)</f>
        <v/>
      </c>
      <c r="M9">
        <f>K9-L9</f>
        <v/>
      </c>
      <c r="N9">
        <f>J9*10000000+(M9+100)*10000+K9*10+(3-COUNTIF($H$6:$H$11,"&lt;"&amp;H9))</f>
        <v/>
      </c>
      <c r="O9">
        <f>RANK(N9,$N$6:$N$11)</f>
        <v/>
      </c>
    </row>
    <row r="10">
      <c r="A10" t="n">
        <v>49</v>
      </c>
      <c r="B10" t="inlineStr">
        <is>
          <t>2026-06-24</t>
        </is>
      </c>
      <c r="C10" t="inlineStr">
        <is>
          <t>Chequia</t>
        </is>
      </c>
      <c r="D10" s="4" t="n"/>
      <c r="E10" s="4" t="n"/>
      <c r="F10" t="inlineStr">
        <is>
          <t>México</t>
        </is>
      </c>
    </row>
    <row r="11">
      <c r="A11" t="n">
        <v>50</v>
      </c>
      <c r="B11" t="inlineStr">
        <is>
          <t>2026-06-24</t>
        </is>
      </c>
      <c r="C11" t="inlineStr">
        <is>
          <t>Sudáfrica</t>
        </is>
      </c>
      <c r="D11" s="4" t="n"/>
      <c r="E11" s="4" t="n"/>
      <c r="F11" t="inlineStr">
        <is>
          <t>Corea del Sur</t>
        </is>
      </c>
    </row>
    <row r="13">
      <c r="A13" s="2" t="inlineStr">
        <is>
          <t>GRUPO B</t>
        </is>
      </c>
    </row>
    <row r="14">
      <c r="A14" s="3" t="inlineStr">
        <is>
          <t>#</t>
        </is>
      </c>
      <c r="B14" s="3" t="inlineStr">
        <is>
          <t>Fecha</t>
        </is>
      </c>
      <c r="C14" s="3" t="inlineStr">
        <is>
          <t>Local</t>
        </is>
      </c>
      <c r="D14" s="3" t="inlineStr">
        <is>
          <t>GL</t>
        </is>
      </c>
      <c r="E14" s="3" t="inlineStr">
        <is>
          <t>GV</t>
        </is>
      </c>
      <c r="F14" s="3" t="inlineStr">
        <is>
          <t>Visitante</t>
        </is>
      </c>
      <c r="H14" s="3" t="inlineStr">
        <is>
          <t>Equipo</t>
        </is>
      </c>
      <c r="I14" s="3" t="inlineStr">
        <is>
          <t>PJ</t>
        </is>
      </c>
      <c r="J14" s="3" t="inlineStr">
        <is>
          <t>Pts</t>
        </is>
      </c>
      <c r="K14" s="3" t="inlineStr">
        <is>
          <t>GF</t>
        </is>
      </c>
      <c r="L14" s="3" t="inlineStr">
        <is>
          <t>GC</t>
        </is>
      </c>
      <c r="M14" s="3" t="inlineStr">
        <is>
          <t>Dif</t>
        </is>
      </c>
      <c r="N14" s="3" t="inlineStr">
        <is>
          <t>Score</t>
        </is>
      </c>
      <c r="O14" s="3" t="inlineStr">
        <is>
          <t>Pos</t>
        </is>
      </c>
    </row>
    <row r="15">
      <c r="A15" t="n">
        <v>3</v>
      </c>
      <c r="B15" t="inlineStr">
        <is>
          <t>2026-06-12</t>
        </is>
      </c>
      <c r="C15" t="inlineStr">
        <is>
          <t>Canadá</t>
        </is>
      </c>
      <c r="D15" s="4" t="n"/>
      <c r="E15" s="4" t="n"/>
      <c r="F15" t="inlineStr">
        <is>
          <t>Bosnia y Herzegovina</t>
        </is>
      </c>
      <c r="H15" t="inlineStr">
        <is>
          <t>Canadá</t>
        </is>
      </c>
      <c r="I15">
        <f>SUMPRODUCT(($C$15:$C$20=$H15)*($D$15:$D$20&lt;&gt;"")*($E$15:$E$20&lt;&gt;""))+SUMPRODUCT(($F$15:$F$20=$H15)*($D$15:$D$20&lt;&gt;"")*($E$15:$E$20&lt;&gt;""))</f>
        <v/>
      </c>
      <c r="J15">
        <f>SUMPRODUCT(($C$15:$C$20=$H15)*($D$15:$D$20&lt;&gt;"")*($E$15:$E$20&lt;&gt;"")*($D$15:$D$20&gt;$E$15:$E$20))*3+SUMPRODUCT(($F$15:$F$20=$H15)*($D$15:$D$20&lt;&gt;"")*($E$15:$E$20&lt;&gt;"")*($E$15:$E$20&gt;$D$15:$D$20))*3+SUMPRODUCT((($C$15:$C$20=$H15)+($F$15:$F$20=$H15))*($D$15:$D$20&lt;&gt;"")*($E$15:$E$20&lt;&gt;"")*($D$15:$D$20=$E$15:$E$20))</f>
        <v/>
      </c>
      <c r="K15">
        <f>SUMPRODUCT(($C$15:$C$20=$H15)*($D$15:$D$20&lt;&gt;"")*($E$15:$E$20&lt;&gt;"")*$D$15:$D$20)+SUMPRODUCT(($F$15:$F$20=$H15)*($D$15:$D$20&lt;&gt;"")*($E$15:$E$20&lt;&gt;"")*$E$15:$E$20)</f>
        <v/>
      </c>
      <c r="L15">
        <f>SUMPRODUCT(($C$15:$C$20=$H15)*($D$15:$D$20&lt;&gt;"")*($E$15:$E$20&lt;&gt;"")*$E$15:$E$20)+SUMPRODUCT(($F$15:$F$20=$H15)*($D$15:$D$20&lt;&gt;"")*($E$15:$E$20&lt;&gt;"")*$D$15:$D$20)</f>
        <v/>
      </c>
      <c r="M15">
        <f>K15-L15</f>
        <v/>
      </c>
      <c r="N15">
        <f>J15*10000000+(M15+100)*10000+K15*10+(3-COUNTIF($H$15:$H$20,"&lt;"&amp;H15))</f>
        <v/>
      </c>
      <c r="O15">
        <f>RANK(N15,$N$15:$N$20)</f>
        <v/>
      </c>
      <c r="Q15" t="inlineStr">
        <is>
          <t>1°:</t>
        </is>
      </c>
      <c r="R15">
        <f>INDEX($H$15:$H$20,MATCH(1,$O$15:$O$20,0))</f>
        <v/>
      </c>
    </row>
    <row r="16">
      <c r="A16" t="n">
        <v>5</v>
      </c>
      <c r="B16" t="inlineStr">
        <is>
          <t>2026-06-13</t>
        </is>
      </c>
      <c r="C16" t="inlineStr">
        <is>
          <t>Catar</t>
        </is>
      </c>
      <c r="D16" s="4" t="n"/>
      <c r="E16" s="4" t="n"/>
      <c r="F16" t="inlineStr">
        <is>
          <t>Suiza</t>
        </is>
      </c>
      <c r="H16" t="inlineStr">
        <is>
          <t>Bosnia y Herzegovina</t>
        </is>
      </c>
      <c r="I16">
        <f>SUMPRODUCT(($C$15:$C$20=$H16)*($D$15:$D$20&lt;&gt;"")*($E$15:$E$20&lt;&gt;""))+SUMPRODUCT(($F$15:$F$20=$H16)*($D$15:$D$20&lt;&gt;"")*($E$15:$E$20&lt;&gt;""))</f>
        <v/>
      </c>
      <c r="J16">
        <f>SUMPRODUCT(($C$15:$C$20=$H16)*($D$15:$D$20&lt;&gt;"")*($E$15:$E$20&lt;&gt;"")*($D$15:$D$20&gt;$E$15:$E$20))*3+SUMPRODUCT(($F$15:$F$20=$H16)*($D$15:$D$20&lt;&gt;"")*($E$15:$E$20&lt;&gt;"")*($E$15:$E$20&gt;$D$15:$D$20))*3+SUMPRODUCT((($C$15:$C$20=$H16)+($F$15:$F$20=$H16))*($D$15:$D$20&lt;&gt;"")*($E$15:$E$20&lt;&gt;"")*($D$15:$D$20=$E$15:$E$20))</f>
        <v/>
      </c>
      <c r="K16">
        <f>SUMPRODUCT(($C$15:$C$20=$H16)*($D$15:$D$20&lt;&gt;"")*($E$15:$E$20&lt;&gt;"")*$D$15:$D$20)+SUMPRODUCT(($F$15:$F$20=$H16)*($D$15:$D$20&lt;&gt;"")*($E$15:$E$20&lt;&gt;"")*$E$15:$E$20)</f>
        <v/>
      </c>
      <c r="L16">
        <f>SUMPRODUCT(($C$15:$C$20=$H16)*($D$15:$D$20&lt;&gt;"")*($E$15:$E$20&lt;&gt;"")*$E$15:$E$20)+SUMPRODUCT(($F$15:$F$20=$H16)*($D$15:$D$20&lt;&gt;"")*($E$15:$E$20&lt;&gt;"")*$D$15:$D$20)</f>
        <v/>
      </c>
      <c r="M16">
        <f>K16-L16</f>
        <v/>
      </c>
      <c r="N16">
        <f>J16*10000000+(M16+100)*10000+K16*10+(3-COUNTIF($H$15:$H$20,"&lt;"&amp;H16))</f>
        <v/>
      </c>
      <c r="O16">
        <f>RANK(N16,$N$15:$N$20)</f>
        <v/>
      </c>
      <c r="Q16" t="inlineStr">
        <is>
          <t>2°:</t>
        </is>
      </c>
      <c r="R16">
        <f>INDEX($H$15:$H$20,MATCH(2,$O$15:$O$20,0))</f>
        <v/>
      </c>
    </row>
    <row r="17">
      <c r="A17" t="n">
        <v>27</v>
      </c>
      <c r="B17" t="inlineStr">
        <is>
          <t>2026-06-18</t>
        </is>
      </c>
      <c r="C17" t="inlineStr">
        <is>
          <t>Suiza</t>
        </is>
      </c>
      <c r="D17" s="4" t="n"/>
      <c r="E17" s="4" t="n"/>
      <c r="F17" t="inlineStr">
        <is>
          <t>Bosnia y Herzegovina</t>
        </is>
      </c>
      <c r="H17" t="inlineStr">
        <is>
          <t>Catar</t>
        </is>
      </c>
      <c r="I17">
        <f>SUMPRODUCT(($C$15:$C$20=$H17)*($D$15:$D$20&lt;&gt;"")*($E$15:$E$20&lt;&gt;""))+SUMPRODUCT(($F$15:$F$20=$H17)*($D$15:$D$20&lt;&gt;"")*($E$15:$E$20&lt;&gt;""))</f>
        <v/>
      </c>
      <c r="J17">
        <f>SUMPRODUCT(($C$15:$C$20=$H17)*($D$15:$D$20&lt;&gt;"")*($E$15:$E$20&lt;&gt;"")*($D$15:$D$20&gt;$E$15:$E$20))*3+SUMPRODUCT(($F$15:$F$20=$H17)*($D$15:$D$20&lt;&gt;"")*($E$15:$E$20&lt;&gt;"")*($E$15:$E$20&gt;$D$15:$D$20))*3+SUMPRODUCT((($C$15:$C$20=$H17)+($F$15:$F$20=$H17))*($D$15:$D$20&lt;&gt;"")*($E$15:$E$20&lt;&gt;"")*($D$15:$D$20=$E$15:$E$20))</f>
        <v/>
      </c>
      <c r="K17">
        <f>SUMPRODUCT(($C$15:$C$20=$H17)*($D$15:$D$20&lt;&gt;"")*($E$15:$E$20&lt;&gt;"")*$D$15:$D$20)+SUMPRODUCT(($F$15:$F$20=$H17)*($D$15:$D$20&lt;&gt;"")*($E$15:$E$20&lt;&gt;"")*$E$15:$E$20)</f>
        <v/>
      </c>
      <c r="L17">
        <f>SUMPRODUCT(($C$15:$C$20=$H17)*($D$15:$D$20&lt;&gt;"")*($E$15:$E$20&lt;&gt;"")*$E$15:$E$20)+SUMPRODUCT(($F$15:$F$20=$H17)*($D$15:$D$20&lt;&gt;"")*($E$15:$E$20&lt;&gt;"")*$D$15:$D$20)</f>
        <v/>
      </c>
      <c r="M17">
        <f>K17-L17</f>
        <v/>
      </c>
      <c r="N17">
        <f>J17*10000000+(M17+100)*10000+K17*10+(3-COUNTIF($H$15:$H$20,"&lt;"&amp;H17))</f>
        <v/>
      </c>
      <c r="O17">
        <f>RANK(N17,$N$15:$N$20)</f>
        <v/>
      </c>
      <c r="Q17" t="inlineStr">
        <is>
          <t>3°:</t>
        </is>
      </c>
      <c r="R17">
        <f>INDEX($H$15:$H$20,MATCH(3,$O$15:$O$20,0))</f>
        <v/>
      </c>
    </row>
    <row r="18">
      <c r="A18" t="n">
        <v>28</v>
      </c>
      <c r="B18" t="inlineStr">
        <is>
          <t>2026-06-18</t>
        </is>
      </c>
      <c r="C18" t="inlineStr">
        <is>
          <t>Canadá</t>
        </is>
      </c>
      <c r="D18" s="4" t="n"/>
      <c r="E18" s="4" t="n"/>
      <c r="F18" t="inlineStr">
        <is>
          <t>Catar</t>
        </is>
      </c>
      <c r="H18" t="inlineStr">
        <is>
          <t>Suiza</t>
        </is>
      </c>
      <c r="I18">
        <f>SUMPRODUCT(($C$15:$C$20=$H18)*($D$15:$D$20&lt;&gt;"")*($E$15:$E$20&lt;&gt;""))+SUMPRODUCT(($F$15:$F$20=$H18)*($D$15:$D$20&lt;&gt;"")*($E$15:$E$20&lt;&gt;""))</f>
        <v/>
      </c>
      <c r="J18">
        <f>SUMPRODUCT(($C$15:$C$20=$H18)*($D$15:$D$20&lt;&gt;"")*($E$15:$E$20&lt;&gt;"")*($D$15:$D$20&gt;$E$15:$E$20))*3+SUMPRODUCT(($F$15:$F$20=$H18)*($D$15:$D$20&lt;&gt;"")*($E$15:$E$20&lt;&gt;"")*($E$15:$E$20&gt;$D$15:$D$20))*3+SUMPRODUCT((($C$15:$C$20=$H18)+($F$15:$F$20=$H18))*($D$15:$D$20&lt;&gt;"")*($E$15:$E$20&lt;&gt;"")*($D$15:$D$20=$E$15:$E$20))</f>
        <v/>
      </c>
      <c r="K18">
        <f>SUMPRODUCT(($C$15:$C$20=$H18)*($D$15:$D$20&lt;&gt;"")*($E$15:$E$20&lt;&gt;"")*$D$15:$D$20)+SUMPRODUCT(($F$15:$F$20=$H18)*($D$15:$D$20&lt;&gt;"")*($E$15:$E$20&lt;&gt;"")*$E$15:$E$20)</f>
        <v/>
      </c>
      <c r="L18">
        <f>SUMPRODUCT(($C$15:$C$20=$H18)*($D$15:$D$20&lt;&gt;"")*($E$15:$E$20&lt;&gt;"")*$E$15:$E$20)+SUMPRODUCT(($F$15:$F$20=$H18)*($D$15:$D$20&lt;&gt;"")*($E$15:$E$20&lt;&gt;"")*$D$15:$D$20)</f>
        <v/>
      </c>
      <c r="M18">
        <f>K18-L18</f>
        <v/>
      </c>
      <c r="N18">
        <f>J18*10000000+(M18+100)*10000+K18*10+(3-COUNTIF($H$15:$H$20,"&lt;"&amp;H18))</f>
        <v/>
      </c>
      <c r="O18">
        <f>RANK(N18,$N$15:$N$20)</f>
        <v/>
      </c>
    </row>
    <row r="19">
      <c r="A19" t="n">
        <v>51</v>
      </c>
      <c r="B19" t="inlineStr">
        <is>
          <t>2026-06-24</t>
        </is>
      </c>
      <c r="C19" t="inlineStr">
        <is>
          <t>Suiza</t>
        </is>
      </c>
      <c r="D19" s="4" t="n"/>
      <c r="E19" s="4" t="n"/>
      <c r="F19" t="inlineStr">
        <is>
          <t>Canadá</t>
        </is>
      </c>
    </row>
    <row r="20">
      <c r="A20" t="n">
        <v>52</v>
      </c>
      <c r="B20" t="inlineStr">
        <is>
          <t>2026-06-24</t>
        </is>
      </c>
      <c r="C20" t="inlineStr">
        <is>
          <t>Bosnia y Herzegovina</t>
        </is>
      </c>
      <c r="D20" s="4" t="n"/>
      <c r="E20" s="4" t="n"/>
      <c r="F20" t="inlineStr">
        <is>
          <t>Catar</t>
        </is>
      </c>
    </row>
    <row r="22">
      <c r="A22" s="2" t="inlineStr">
        <is>
          <t>GRUPO C</t>
        </is>
      </c>
    </row>
    <row r="23">
      <c r="A23" s="3" t="inlineStr">
        <is>
          <t>#</t>
        </is>
      </c>
      <c r="B23" s="3" t="inlineStr">
        <is>
          <t>Fecha</t>
        </is>
      </c>
      <c r="C23" s="3" t="inlineStr">
        <is>
          <t>Local</t>
        </is>
      </c>
      <c r="D23" s="3" t="inlineStr">
        <is>
          <t>GL</t>
        </is>
      </c>
      <c r="E23" s="3" t="inlineStr">
        <is>
          <t>GV</t>
        </is>
      </c>
      <c r="F23" s="3" t="inlineStr">
        <is>
          <t>Visitante</t>
        </is>
      </c>
      <c r="H23" s="3" t="inlineStr">
        <is>
          <t>Equipo</t>
        </is>
      </c>
      <c r="I23" s="3" t="inlineStr">
        <is>
          <t>PJ</t>
        </is>
      </c>
      <c r="J23" s="3" t="inlineStr">
        <is>
          <t>Pts</t>
        </is>
      </c>
      <c r="K23" s="3" t="inlineStr">
        <is>
          <t>GF</t>
        </is>
      </c>
      <c r="L23" s="3" t="inlineStr">
        <is>
          <t>GC</t>
        </is>
      </c>
      <c r="M23" s="3" t="inlineStr">
        <is>
          <t>Dif</t>
        </is>
      </c>
      <c r="N23" s="3" t="inlineStr">
        <is>
          <t>Score</t>
        </is>
      </c>
      <c r="O23" s="3" t="inlineStr">
        <is>
          <t>Pos</t>
        </is>
      </c>
    </row>
    <row r="24">
      <c r="A24" t="n">
        <v>7</v>
      </c>
      <c r="B24" t="inlineStr">
        <is>
          <t>2026-06-13</t>
        </is>
      </c>
      <c r="C24" t="inlineStr">
        <is>
          <t>Brasil</t>
        </is>
      </c>
      <c r="D24" s="4" t="n"/>
      <c r="E24" s="4" t="n"/>
      <c r="F24" t="inlineStr">
        <is>
          <t>Marruecos</t>
        </is>
      </c>
      <c r="H24" t="inlineStr">
        <is>
          <t>Brasil</t>
        </is>
      </c>
      <c r="I24">
        <f>SUMPRODUCT(($C$24:$C$29=$H24)*($D$24:$D$29&lt;&gt;"")*($E$24:$E$29&lt;&gt;""))+SUMPRODUCT(($F$24:$F$29=$H24)*($D$24:$D$29&lt;&gt;"")*($E$24:$E$29&lt;&gt;""))</f>
        <v/>
      </c>
      <c r="J24">
        <f>SUMPRODUCT(($C$24:$C$29=$H24)*($D$24:$D$29&lt;&gt;"")*($E$24:$E$29&lt;&gt;"")*($D$24:$D$29&gt;$E$24:$E$29))*3+SUMPRODUCT(($F$24:$F$29=$H24)*($D$24:$D$29&lt;&gt;"")*($E$24:$E$29&lt;&gt;"")*($E$24:$E$29&gt;$D$24:$D$29))*3+SUMPRODUCT((($C$24:$C$29=$H24)+($F$24:$F$29=$H24))*($D$24:$D$29&lt;&gt;"")*($E$24:$E$29&lt;&gt;"")*($D$24:$D$29=$E$24:$E$29))</f>
        <v/>
      </c>
      <c r="K24">
        <f>SUMPRODUCT(($C$24:$C$29=$H24)*($D$24:$D$29&lt;&gt;"")*($E$24:$E$29&lt;&gt;"")*$D$24:$D$29)+SUMPRODUCT(($F$24:$F$29=$H24)*($D$24:$D$29&lt;&gt;"")*($E$24:$E$29&lt;&gt;"")*$E$24:$E$29)</f>
        <v/>
      </c>
      <c r="L24">
        <f>SUMPRODUCT(($C$24:$C$29=$H24)*($D$24:$D$29&lt;&gt;"")*($E$24:$E$29&lt;&gt;"")*$E$24:$E$29)+SUMPRODUCT(($F$24:$F$29=$H24)*($D$24:$D$29&lt;&gt;"")*($E$24:$E$29&lt;&gt;"")*$D$24:$D$29)</f>
        <v/>
      </c>
      <c r="M24">
        <f>K24-L24</f>
        <v/>
      </c>
      <c r="N24">
        <f>J24*10000000+(M24+100)*10000+K24*10+(3-COUNTIF($H$24:$H$29,"&lt;"&amp;H24))</f>
        <v/>
      </c>
      <c r="O24">
        <f>RANK(N24,$N$24:$N$29)</f>
        <v/>
      </c>
      <c r="Q24" t="inlineStr">
        <is>
          <t>1°:</t>
        </is>
      </c>
      <c r="R24">
        <f>INDEX($H$24:$H$29,MATCH(1,$O$24:$O$29,0))</f>
        <v/>
      </c>
    </row>
    <row r="25">
      <c r="A25" t="n">
        <v>8</v>
      </c>
      <c r="B25" t="inlineStr">
        <is>
          <t>2026-06-13</t>
        </is>
      </c>
      <c r="C25" t="inlineStr">
        <is>
          <t>Haití</t>
        </is>
      </c>
      <c r="D25" s="4" t="n"/>
      <c r="E25" s="4" t="n"/>
      <c r="F25" t="inlineStr">
        <is>
          <t>Escocia</t>
        </is>
      </c>
      <c r="H25" t="inlineStr">
        <is>
          <t>Marruecos</t>
        </is>
      </c>
      <c r="I25">
        <f>SUMPRODUCT(($C$24:$C$29=$H25)*($D$24:$D$29&lt;&gt;"")*($E$24:$E$29&lt;&gt;""))+SUMPRODUCT(($F$24:$F$29=$H25)*($D$24:$D$29&lt;&gt;"")*($E$24:$E$29&lt;&gt;""))</f>
        <v/>
      </c>
      <c r="J25">
        <f>SUMPRODUCT(($C$24:$C$29=$H25)*($D$24:$D$29&lt;&gt;"")*($E$24:$E$29&lt;&gt;"")*($D$24:$D$29&gt;$E$24:$E$29))*3+SUMPRODUCT(($F$24:$F$29=$H25)*($D$24:$D$29&lt;&gt;"")*($E$24:$E$29&lt;&gt;"")*($E$24:$E$29&gt;$D$24:$D$29))*3+SUMPRODUCT((($C$24:$C$29=$H25)+($F$24:$F$29=$H25))*($D$24:$D$29&lt;&gt;"")*($E$24:$E$29&lt;&gt;"")*($D$24:$D$29=$E$24:$E$29))</f>
        <v/>
      </c>
      <c r="K25">
        <f>SUMPRODUCT(($C$24:$C$29=$H25)*($D$24:$D$29&lt;&gt;"")*($E$24:$E$29&lt;&gt;"")*$D$24:$D$29)+SUMPRODUCT(($F$24:$F$29=$H25)*($D$24:$D$29&lt;&gt;"")*($E$24:$E$29&lt;&gt;"")*$E$24:$E$29)</f>
        <v/>
      </c>
      <c r="L25">
        <f>SUMPRODUCT(($C$24:$C$29=$H25)*($D$24:$D$29&lt;&gt;"")*($E$24:$E$29&lt;&gt;"")*$E$24:$E$29)+SUMPRODUCT(($F$24:$F$29=$H25)*($D$24:$D$29&lt;&gt;"")*($E$24:$E$29&lt;&gt;"")*$D$24:$D$29)</f>
        <v/>
      </c>
      <c r="M25">
        <f>K25-L25</f>
        <v/>
      </c>
      <c r="N25">
        <f>J25*10000000+(M25+100)*10000+K25*10+(3-COUNTIF($H$24:$H$29,"&lt;"&amp;H25))</f>
        <v/>
      </c>
      <c r="O25">
        <f>RANK(N25,$N$24:$N$29)</f>
        <v/>
      </c>
      <c r="Q25" t="inlineStr">
        <is>
          <t>2°:</t>
        </is>
      </c>
      <c r="R25">
        <f>INDEX($H$24:$H$29,MATCH(2,$O$24:$O$29,0))</f>
        <v/>
      </c>
    </row>
    <row r="26">
      <c r="A26" t="n">
        <v>29</v>
      </c>
      <c r="B26" t="inlineStr">
        <is>
          <t>2026-06-19</t>
        </is>
      </c>
      <c r="C26" t="inlineStr">
        <is>
          <t>Escocia</t>
        </is>
      </c>
      <c r="D26" s="4" t="n"/>
      <c r="E26" s="4" t="n"/>
      <c r="F26" t="inlineStr">
        <is>
          <t>Marruecos</t>
        </is>
      </c>
      <c r="H26" t="inlineStr">
        <is>
          <t>Haití</t>
        </is>
      </c>
      <c r="I26">
        <f>SUMPRODUCT(($C$24:$C$29=$H26)*($D$24:$D$29&lt;&gt;"")*($E$24:$E$29&lt;&gt;""))+SUMPRODUCT(($F$24:$F$29=$H26)*($D$24:$D$29&lt;&gt;"")*($E$24:$E$29&lt;&gt;""))</f>
        <v/>
      </c>
      <c r="J26">
        <f>SUMPRODUCT(($C$24:$C$29=$H26)*($D$24:$D$29&lt;&gt;"")*($E$24:$E$29&lt;&gt;"")*($D$24:$D$29&gt;$E$24:$E$29))*3+SUMPRODUCT(($F$24:$F$29=$H26)*($D$24:$D$29&lt;&gt;"")*($E$24:$E$29&lt;&gt;"")*($E$24:$E$29&gt;$D$24:$D$29))*3+SUMPRODUCT((($C$24:$C$29=$H26)+($F$24:$F$29=$H26))*($D$24:$D$29&lt;&gt;"")*($E$24:$E$29&lt;&gt;"")*($D$24:$D$29=$E$24:$E$29))</f>
        <v/>
      </c>
      <c r="K26">
        <f>SUMPRODUCT(($C$24:$C$29=$H26)*($D$24:$D$29&lt;&gt;"")*($E$24:$E$29&lt;&gt;"")*$D$24:$D$29)+SUMPRODUCT(($F$24:$F$29=$H26)*($D$24:$D$29&lt;&gt;"")*($E$24:$E$29&lt;&gt;"")*$E$24:$E$29)</f>
        <v/>
      </c>
      <c r="L26">
        <f>SUMPRODUCT(($C$24:$C$29=$H26)*($D$24:$D$29&lt;&gt;"")*($E$24:$E$29&lt;&gt;"")*$E$24:$E$29)+SUMPRODUCT(($F$24:$F$29=$H26)*($D$24:$D$29&lt;&gt;"")*($E$24:$E$29&lt;&gt;"")*$D$24:$D$29)</f>
        <v/>
      </c>
      <c r="M26">
        <f>K26-L26</f>
        <v/>
      </c>
      <c r="N26">
        <f>J26*10000000+(M26+100)*10000+K26*10+(3-COUNTIF($H$24:$H$29,"&lt;"&amp;H26))</f>
        <v/>
      </c>
      <c r="O26">
        <f>RANK(N26,$N$24:$N$29)</f>
        <v/>
      </c>
      <c r="Q26" t="inlineStr">
        <is>
          <t>3°:</t>
        </is>
      </c>
      <c r="R26">
        <f>INDEX($H$24:$H$29,MATCH(3,$O$24:$O$29,0))</f>
        <v/>
      </c>
    </row>
    <row r="27">
      <c r="A27" t="n">
        <v>30</v>
      </c>
      <c r="B27" t="inlineStr">
        <is>
          <t>2026-06-19</t>
        </is>
      </c>
      <c r="C27" t="inlineStr">
        <is>
          <t>Brasil</t>
        </is>
      </c>
      <c r="D27" s="4" t="n"/>
      <c r="E27" s="4" t="n"/>
      <c r="F27" t="inlineStr">
        <is>
          <t>Haití</t>
        </is>
      </c>
      <c r="H27" t="inlineStr">
        <is>
          <t>Escocia</t>
        </is>
      </c>
      <c r="I27">
        <f>SUMPRODUCT(($C$24:$C$29=$H27)*($D$24:$D$29&lt;&gt;"")*($E$24:$E$29&lt;&gt;""))+SUMPRODUCT(($F$24:$F$29=$H27)*($D$24:$D$29&lt;&gt;"")*($E$24:$E$29&lt;&gt;""))</f>
        <v/>
      </c>
      <c r="J27">
        <f>SUMPRODUCT(($C$24:$C$29=$H27)*($D$24:$D$29&lt;&gt;"")*($E$24:$E$29&lt;&gt;"")*($D$24:$D$29&gt;$E$24:$E$29))*3+SUMPRODUCT(($F$24:$F$29=$H27)*($D$24:$D$29&lt;&gt;"")*($E$24:$E$29&lt;&gt;"")*($E$24:$E$29&gt;$D$24:$D$29))*3+SUMPRODUCT((($C$24:$C$29=$H27)+($F$24:$F$29=$H27))*($D$24:$D$29&lt;&gt;"")*($E$24:$E$29&lt;&gt;"")*($D$24:$D$29=$E$24:$E$29))</f>
        <v/>
      </c>
      <c r="K27">
        <f>SUMPRODUCT(($C$24:$C$29=$H27)*($D$24:$D$29&lt;&gt;"")*($E$24:$E$29&lt;&gt;"")*$D$24:$D$29)+SUMPRODUCT(($F$24:$F$29=$H27)*($D$24:$D$29&lt;&gt;"")*($E$24:$E$29&lt;&gt;"")*$E$24:$E$29)</f>
        <v/>
      </c>
      <c r="L27">
        <f>SUMPRODUCT(($C$24:$C$29=$H27)*($D$24:$D$29&lt;&gt;"")*($E$24:$E$29&lt;&gt;"")*$E$24:$E$29)+SUMPRODUCT(($F$24:$F$29=$H27)*($D$24:$D$29&lt;&gt;"")*($E$24:$E$29&lt;&gt;"")*$D$24:$D$29)</f>
        <v/>
      </c>
      <c r="M27">
        <f>K27-L27</f>
        <v/>
      </c>
      <c r="N27">
        <f>J27*10000000+(M27+100)*10000+K27*10+(3-COUNTIF($H$24:$H$29,"&lt;"&amp;H27))</f>
        <v/>
      </c>
      <c r="O27">
        <f>RANK(N27,$N$24:$N$29)</f>
        <v/>
      </c>
    </row>
    <row r="28">
      <c r="A28" t="n">
        <v>53</v>
      </c>
      <c r="B28" t="inlineStr">
        <is>
          <t>2026-06-24</t>
        </is>
      </c>
      <c r="C28" t="inlineStr">
        <is>
          <t>Escocia</t>
        </is>
      </c>
      <c r="D28" s="4" t="n"/>
      <c r="E28" s="4" t="n"/>
      <c r="F28" t="inlineStr">
        <is>
          <t>Brasil</t>
        </is>
      </c>
    </row>
    <row r="29">
      <c r="A29" t="n">
        <v>54</v>
      </c>
      <c r="B29" t="inlineStr">
        <is>
          <t>2026-06-24</t>
        </is>
      </c>
      <c r="C29" t="inlineStr">
        <is>
          <t>Marruecos</t>
        </is>
      </c>
      <c r="D29" s="4" t="n"/>
      <c r="E29" s="4" t="n"/>
      <c r="F29" t="inlineStr">
        <is>
          <t>Haití</t>
        </is>
      </c>
    </row>
    <row r="31">
      <c r="A31" s="2" t="inlineStr">
        <is>
          <t>GRUPO D</t>
        </is>
      </c>
    </row>
    <row r="32">
      <c r="A32" s="3" t="inlineStr">
        <is>
          <t>#</t>
        </is>
      </c>
      <c r="B32" s="3" t="inlineStr">
        <is>
          <t>Fecha</t>
        </is>
      </c>
      <c r="C32" s="3" t="inlineStr">
        <is>
          <t>Local</t>
        </is>
      </c>
      <c r="D32" s="3" t="inlineStr">
        <is>
          <t>GL</t>
        </is>
      </c>
      <c r="E32" s="3" t="inlineStr">
        <is>
          <t>GV</t>
        </is>
      </c>
      <c r="F32" s="3" t="inlineStr">
        <is>
          <t>Visitante</t>
        </is>
      </c>
      <c r="H32" s="3" t="inlineStr">
        <is>
          <t>Equipo</t>
        </is>
      </c>
      <c r="I32" s="3" t="inlineStr">
        <is>
          <t>PJ</t>
        </is>
      </c>
      <c r="J32" s="3" t="inlineStr">
        <is>
          <t>Pts</t>
        </is>
      </c>
      <c r="K32" s="3" t="inlineStr">
        <is>
          <t>GF</t>
        </is>
      </c>
      <c r="L32" s="3" t="inlineStr">
        <is>
          <t>GC</t>
        </is>
      </c>
      <c r="M32" s="3" t="inlineStr">
        <is>
          <t>Dif</t>
        </is>
      </c>
      <c r="N32" s="3" t="inlineStr">
        <is>
          <t>Score</t>
        </is>
      </c>
      <c r="O32" s="3" t="inlineStr">
        <is>
          <t>Pos</t>
        </is>
      </c>
    </row>
    <row r="33">
      <c r="A33" t="n">
        <v>4</v>
      </c>
      <c r="B33" t="inlineStr">
        <is>
          <t>2026-06-12</t>
        </is>
      </c>
      <c r="C33" t="inlineStr">
        <is>
          <t>Estados Unidos</t>
        </is>
      </c>
      <c r="D33" s="4" t="n"/>
      <c r="E33" s="4" t="n"/>
      <c r="F33" t="inlineStr">
        <is>
          <t>Paraguay</t>
        </is>
      </c>
      <c r="H33" t="inlineStr">
        <is>
          <t>Estados Unidos</t>
        </is>
      </c>
      <c r="I33">
        <f>SUMPRODUCT(($C$33:$C$38=$H33)*($D$33:$D$38&lt;&gt;"")*($E$33:$E$38&lt;&gt;""))+SUMPRODUCT(($F$33:$F$38=$H33)*($D$33:$D$38&lt;&gt;"")*($E$33:$E$38&lt;&gt;""))</f>
        <v/>
      </c>
      <c r="J33">
        <f>SUMPRODUCT(($C$33:$C$38=$H33)*($D$33:$D$38&lt;&gt;"")*($E$33:$E$38&lt;&gt;"")*($D$33:$D$38&gt;$E$33:$E$38))*3+SUMPRODUCT(($F$33:$F$38=$H33)*($D$33:$D$38&lt;&gt;"")*($E$33:$E$38&lt;&gt;"")*($E$33:$E$38&gt;$D$33:$D$38))*3+SUMPRODUCT((($C$33:$C$38=$H33)+($F$33:$F$38=$H33))*($D$33:$D$38&lt;&gt;"")*($E$33:$E$38&lt;&gt;"")*($D$33:$D$38=$E$33:$E$38))</f>
        <v/>
      </c>
      <c r="K33">
        <f>SUMPRODUCT(($C$33:$C$38=$H33)*($D$33:$D$38&lt;&gt;"")*($E$33:$E$38&lt;&gt;"")*$D$33:$D$38)+SUMPRODUCT(($F$33:$F$38=$H33)*($D$33:$D$38&lt;&gt;"")*($E$33:$E$38&lt;&gt;"")*$E$33:$E$38)</f>
        <v/>
      </c>
      <c r="L33">
        <f>SUMPRODUCT(($C$33:$C$38=$H33)*($D$33:$D$38&lt;&gt;"")*($E$33:$E$38&lt;&gt;"")*$E$33:$E$38)+SUMPRODUCT(($F$33:$F$38=$H33)*($D$33:$D$38&lt;&gt;"")*($E$33:$E$38&lt;&gt;"")*$D$33:$D$38)</f>
        <v/>
      </c>
      <c r="M33">
        <f>K33-L33</f>
        <v/>
      </c>
      <c r="N33">
        <f>J33*10000000+(M33+100)*10000+K33*10+(3-COUNTIF($H$33:$H$38,"&lt;"&amp;H33))</f>
        <v/>
      </c>
      <c r="O33">
        <f>RANK(N33,$N$33:$N$38)</f>
        <v/>
      </c>
      <c r="Q33" t="inlineStr">
        <is>
          <t>1°:</t>
        </is>
      </c>
      <c r="R33">
        <f>INDEX($H$33:$H$38,MATCH(1,$O$33:$O$38,0))</f>
        <v/>
      </c>
    </row>
    <row r="34">
      <c r="A34" t="n">
        <v>6</v>
      </c>
      <c r="B34" t="inlineStr">
        <is>
          <t>2026-06-13</t>
        </is>
      </c>
      <c r="C34" t="inlineStr">
        <is>
          <t>Australia</t>
        </is>
      </c>
      <c r="D34" s="4" t="n"/>
      <c r="E34" s="4" t="n"/>
      <c r="F34" t="inlineStr">
        <is>
          <t>Turquía</t>
        </is>
      </c>
      <c r="H34" t="inlineStr">
        <is>
          <t>Paraguay</t>
        </is>
      </c>
      <c r="I34">
        <f>SUMPRODUCT(($C$33:$C$38=$H34)*($D$33:$D$38&lt;&gt;"")*($E$33:$E$38&lt;&gt;""))+SUMPRODUCT(($F$33:$F$38=$H34)*($D$33:$D$38&lt;&gt;"")*($E$33:$E$38&lt;&gt;""))</f>
        <v/>
      </c>
      <c r="J34">
        <f>SUMPRODUCT(($C$33:$C$38=$H34)*($D$33:$D$38&lt;&gt;"")*($E$33:$E$38&lt;&gt;"")*($D$33:$D$38&gt;$E$33:$E$38))*3+SUMPRODUCT(($F$33:$F$38=$H34)*($D$33:$D$38&lt;&gt;"")*($E$33:$E$38&lt;&gt;"")*($E$33:$E$38&gt;$D$33:$D$38))*3+SUMPRODUCT((($C$33:$C$38=$H34)+($F$33:$F$38=$H34))*($D$33:$D$38&lt;&gt;"")*($E$33:$E$38&lt;&gt;"")*($D$33:$D$38=$E$33:$E$38))</f>
        <v/>
      </c>
      <c r="K34">
        <f>SUMPRODUCT(($C$33:$C$38=$H34)*($D$33:$D$38&lt;&gt;"")*($E$33:$E$38&lt;&gt;"")*$D$33:$D$38)+SUMPRODUCT(($F$33:$F$38=$H34)*($D$33:$D$38&lt;&gt;"")*($E$33:$E$38&lt;&gt;"")*$E$33:$E$38)</f>
        <v/>
      </c>
      <c r="L34">
        <f>SUMPRODUCT(($C$33:$C$38=$H34)*($D$33:$D$38&lt;&gt;"")*($E$33:$E$38&lt;&gt;"")*$E$33:$E$38)+SUMPRODUCT(($F$33:$F$38=$H34)*($D$33:$D$38&lt;&gt;"")*($E$33:$E$38&lt;&gt;"")*$D$33:$D$38)</f>
        <v/>
      </c>
      <c r="M34">
        <f>K34-L34</f>
        <v/>
      </c>
      <c r="N34">
        <f>J34*10000000+(M34+100)*10000+K34*10+(3-COUNTIF($H$33:$H$38,"&lt;"&amp;H34))</f>
        <v/>
      </c>
      <c r="O34">
        <f>RANK(N34,$N$33:$N$38)</f>
        <v/>
      </c>
      <c r="Q34" t="inlineStr">
        <is>
          <t>2°:</t>
        </is>
      </c>
      <c r="R34">
        <f>INDEX($H$33:$H$38,MATCH(2,$O$33:$O$38,0))</f>
        <v/>
      </c>
    </row>
    <row r="35">
      <c r="A35" t="n">
        <v>31</v>
      </c>
      <c r="B35" t="inlineStr">
        <is>
          <t>2026-06-19</t>
        </is>
      </c>
      <c r="C35" t="inlineStr">
        <is>
          <t>Estados Unidos</t>
        </is>
      </c>
      <c r="D35" s="4" t="n"/>
      <c r="E35" s="4" t="n"/>
      <c r="F35" t="inlineStr">
        <is>
          <t>Australia</t>
        </is>
      </c>
      <c r="H35" t="inlineStr">
        <is>
          <t>Australia</t>
        </is>
      </c>
      <c r="I35">
        <f>SUMPRODUCT(($C$33:$C$38=$H35)*($D$33:$D$38&lt;&gt;"")*($E$33:$E$38&lt;&gt;""))+SUMPRODUCT(($F$33:$F$38=$H35)*($D$33:$D$38&lt;&gt;"")*($E$33:$E$38&lt;&gt;""))</f>
        <v/>
      </c>
      <c r="J35">
        <f>SUMPRODUCT(($C$33:$C$38=$H35)*($D$33:$D$38&lt;&gt;"")*($E$33:$E$38&lt;&gt;"")*($D$33:$D$38&gt;$E$33:$E$38))*3+SUMPRODUCT(($F$33:$F$38=$H35)*($D$33:$D$38&lt;&gt;"")*($E$33:$E$38&lt;&gt;"")*($E$33:$E$38&gt;$D$33:$D$38))*3+SUMPRODUCT((($C$33:$C$38=$H35)+($F$33:$F$38=$H35))*($D$33:$D$38&lt;&gt;"")*($E$33:$E$38&lt;&gt;"")*($D$33:$D$38=$E$33:$E$38))</f>
        <v/>
      </c>
      <c r="K35">
        <f>SUMPRODUCT(($C$33:$C$38=$H35)*($D$33:$D$38&lt;&gt;"")*($E$33:$E$38&lt;&gt;"")*$D$33:$D$38)+SUMPRODUCT(($F$33:$F$38=$H35)*($D$33:$D$38&lt;&gt;"")*($E$33:$E$38&lt;&gt;"")*$E$33:$E$38)</f>
        <v/>
      </c>
      <c r="L35">
        <f>SUMPRODUCT(($C$33:$C$38=$H35)*($D$33:$D$38&lt;&gt;"")*($E$33:$E$38&lt;&gt;"")*$E$33:$E$38)+SUMPRODUCT(($F$33:$F$38=$H35)*($D$33:$D$38&lt;&gt;"")*($E$33:$E$38&lt;&gt;"")*$D$33:$D$38)</f>
        <v/>
      </c>
      <c r="M35">
        <f>K35-L35</f>
        <v/>
      </c>
      <c r="N35">
        <f>J35*10000000+(M35+100)*10000+K35*10+(3-COUNTIF($H$33:$H$38,"&lt;"&amp;H35))</f>
        <v/>
      </c>
      <c r="O35">
        <f>RANK(N35,$N$33:$N$38)</f>
        <v/>
      </c>
      <c r="Q35" t="inlineStr">
        <is>
          <t>3°:</t>
        </is>
      </c>
      <c r="R35">
        <f>INDEX($H$33:$H$38,MATCH(3,$O$33:$O$38,0))</f>
        <v/>
      </c>
    </row>
    <row r="36">
      <c r="A36" t="n">
        <v>32</v>
      </c>
      <c r="B36" t="inlineStr">
        <is>
          <t>2026-06-19</t>
        </is>
      </c>
      <c r="C36" t="inlineStr">
        <is>
          <t>Turquía</t>
        </is>
      </c>
      <c r="D36" s="4" t="n"/>
      <c r="E36" s="4" t="n"/>
      <c r="F36" t="inlineStr">
        <is>
          <t>Paraguay</t>
        </is>
      </c>
      <c r="H36" t="inlineStr">
        <is>
          <t>Turquía</t>
        </is>
      </c>
      <c r="I36">
        <f>SUMPRODUCT(($C$33:$C$38=$H36)*($D$33:$D$38&lt;&gt;"")*($E$33:$E$38&lt;&gt;""))+SUMPRODUCT(($F$33:$F$38=$H36)*($D$33:$D$38&lt;&gt;"")*($E$33:$E$38&lt;&gt;""))</f>
        <v/>
      </c>
      <c r="J36">
        <f>SUMPRODUCT(($C$33:$C$38=$H36)*($D$33:$D$38&lt;&gt;"")*($E$33:$E$38&lt;&gt;"")*($D$33:$D$38&gt;$E$33:$E$38))*3+SUMPRODUCT(($F$33:$F$38=$H36)*($D$33:$D$38&lt;&gt;"")*($E$33:$E$38&lt;&gt;"")*($E$33:$E$38&gt;$D$33:$D$38))*3+SUMPRODUCT((($C$33:$C$38=$H36)+($F$33:$F$38=$H36))*($D$33:$D$38&lt;&gt;"")*($E$33:$E$38&lt;&gt;"")*($D$33:$D$38=$E$33:$E$38))</f>
        <v/>
      </c>
      <c r="K36">
        <f>SUMPRODUCT(($C$33:$C$38=$H36)*($D$33:$D$38&lt;&gt;"")*($E$33:$E$38&lt;&gt;"")*$D$33:$D$38)+SUMPRODUCT(($F$33:$F$38=$H36)*($D$33:$D$38&lt;&gt;"")*($E$33:$E$38&lt;&gt;"")*$E$33:$E$38)</f>
        <v/>
      </c>
      <c r="L36">
        <f>SUMPRODUCT(($C$33:$C$38=$H36)*($D$33:$D$38&lt;&gt;"")*($E$33:$E$38&lt;&gt;"")*$E$33:$E$38)+SUMPRODUCT(($F$33:$F$38=$H36)*($D$33:$D$38&lt;&gt;"")*($E$33:$E$38&lt;&gt;"")*$D$33:$D$38)</f>
        <v/>
      </c>
      <c r="M36">
        <f>K36-L36</f>
        <v/>
      </c>
      <c r="N36">
        <f>J36*10000000+(M36+100)*10000+K36*10+(3-COUNTIF($H$33:$H$38,"&lt;"&amp;H36))</f>
        <v/>
      </c>
      <c r="O36">
        <f>RANK(N36,$N$33:$N$38)</f>
        <v/>
      </c>
    </row>
    <row r="37">
      <c r="A37" t="n">
        <v>55</v>
      </c>
      <c r="B37" t="inlineStr">
        <is>
          <t>2026-06-25</t>
        </is>
      </c>
      <c r="C37" t="inlineStr">
        <is>
          <t>Turquía</t>
        </is>
      </c>
      <c r="D37" s="4" t="n"/>
      <c r="E37" s="4" t="n"/>
      <c r="F37" t="inlineStr">
        <is>
          <t>Estados Unidos</t>
        </is>
      </c>
    </row>
    <row r="38">
      <c r="A38" t="n">
        <v>56</v>
      </c>
      <c r="B38" t="inlineStr">
        <is>
          <t>2026-06-25</t>
        </is>
      </c>
      <c r="C38" t="inlineStr">
        <is>
          <t>Paraguay</t>
        </is>
      </c>
      <c r="D38" s="4" t="n"/>
      <c r="E38" s="4" t="n"/>
      <c r="F38" t="inlineStr">
        <is>
          <t>Australia</t>
        </is>
      </c>
    </row>
    <row r="40">
      <c r="A40" s="2" t="inlineStr">
        <is>
          <t>GRUPO E</t>
        </is>
      </c>
    </row>
    <row r="41">
      <c r="A41" s="3" t="inlineStr">
        <is>
          <t>#</t>
        </is>
      </c>
      <c r="B41" s="3" t="inlineStr">
        <is>
          <t>Fecha</t>
        </is>
      </c>
      <c r="C41" s="3" t="inlineStr">
        <is>
          <t>Local</t>
        </is>
      </c>
      <c r="D41" s="3" t="inlineStr">
        <is>
          <t>GL</t>
        </is>
      </c>
      <c r="E41" s="3" t="inlineStr">
        <is>
          <t>GV</t>
        </is>
      </c>
      <c r="F41" s="3" t="inlineStr">
        <is>
          <t>Visitante</t>
        </is>
      </c>
      <c r="H41" s="3" t="inlineStr">
        <is>
          <t>Equipo</t>
        </is>
      </c>
      <c r="I41" s="3" t="inlineStr">
        <is>
          <t>PJ</t>
        </is>
      </c>
      <c r="J41" s="3" t="inlineStr">
        <is>
          <t>Pts</t>
        </is>
      </c>
      <c r="K41" s="3" t="inlineStr">
        <is>
          <t>GF</t>
        </is>
      </c>
      <c r="L41" s="3" t="inlineStr">
        <is>
          <t>GC</t>
        </is>
      </c>
      <c r="M41" s="3" t="inlineStr">
        <is>
          <t>Dif</t>
        </is>
      </c>
      <c r="N41" s="3" t="inlineStr">
        <is>
          <t>Score</t>
        </is>
      </c>
      <c r="O41" s="3" t="inlineStr">
        <is>
          <t>Pos</t>
        </is>
      </c>
    </row>
    <row r="42">
      <c r="A42" t="n">
        <v>9</v>
      </c>
      <c r="B42" t="inlineStr">
        <is>
          <t>2026-06-14</t>
        </is>
      </c>
      <c r="C42" t="inlineStr">
        <is>
          <t>Alemania</t>
        </is>
      </c>
      <c r="D42" s="4" t="n"/>
      <c r="E42" s="4" t="n"/>
      <c r="F42" t="inlineStr">
        <is>
          <t>Curazao</t>
        </is>
      </c>
      <c r="H42" t="inlineStr">
        <is>
          <t>Alemania</t>
        </is>
      </c>
      <c r="I42">
        <f>SUMPRODUCT(($C$42:$C$47=$H42)*($D$42:$D$47&lt;&gt;"")*($E$42:$E$47&lt;&gt;""))+SUMPRODUCT(($F$42:$F$47=$H42)*($D$42:$D$47&lt;&gt;"")*($E$42:$E$47&lt;&gt;""))</f>
        <v/>
      </c>
      <c r="J42">
        <f>SUMPRODUCT(($C$42:$C$47=$H42)*($D$42:$D$47&lt;&gt;"")*($E$42:$E$47&lt;&gt;"")*($D$42:$D$47&gt;$E$42:$E$47))*3+SUMPRODUCT(($F$42:$F$47=$H42)*($D$42:$D$47&lt;&gt;"")*($E$42:$E$47&lt;&gt;"")*($E$42:$E$47&gt;$D$42:$D$47))*3+SUMPRODUCT((($C$42:$C$47=$H42)+($F$42:$F$47=$H42))*($D$42:$D$47&lt;&gt;"")*($E$42:$E$47&lt;&gt;"")*($D$42:$D$47=$E$42:$E$47))</f>
        <v/>
      </c>
      <c r="K42">
        <f>SUMPRODUCT(($C$42:$C$47=$H42)*($D$42:$D$47&lt;&gt;"")*($E$42:$E$47&lt;&gt;"")*$D$42:$D$47)+SUMPRODUCT(($F$42:$F$47=$H42)*($D$42:$D$47&lt;&gt;"")*($E$42:$E$47&lt;&gt;"")*$E$42:$E$47)</f>
        <v/>
      </c>
      <c r="L42">
        <f>SUMPRODUCT(($C$42:$C$47=$H42)*($D$42:$D$47&lt;&gt;"")*($E$42:$E$47&lt;&gt;"")*$E$42:$E$47)+SUMPRODUCT(($F$42:$F$47=$H42)*($D$42:$D$47&lt;&gt;"")*($E$42:$E$47&lt;&gt;"")*$D$42:$D$47)</f>
        <v/>
      </c>
      <c r="M42">
        <f>K42-L42</f>
        <v/>
      </c>
      <c r="N42">
        <f>J42*10000000+(M42+100)*10000+K42*10+(3-COUNTIF($H$42:$H$47,"&lt;"&amp;H42))</f>
        <v/>
      </c>
      <c r="O42">
        <f>RANK(N42,$N$42:$N$47)</f>
        <v/>
      </c>
      <c r="Q42" t="inlineStr">
        <is>
          <t>1°:</t>
        </is>
      </c>
      <c r="R42">
        <f>INDEX($H$42:$H$47,MATCH(1,$O$42:$O$47,0))</f>
        <v/>
      </c>
    </row>
    <row r="43">
      <c r="A43" t="n">
        <v>10</v>
      </c>
      <c r="B43" t="inlineStr">
        <is>
          <t>2026-06-14</t>
        </is>
      </c>
      <c r="C43" t="inlineStr">
        <is>
          <t>Costa de Marfil</t>
        </is>
      </c>
      <c r="D43" s="4" t="n"/>
      <c r="E43" s="4" t="n"/>
      <c r="F43" t="inlineStr">
        <is>
          <t>Ecuador</t>
        </is>
      </c>
      <c r="H43" t="inlineStr">
        <is>
          <t>Curazao</t>
        </is>
      </c>
      <c r="I43">
        <f>SUMPRODUCT(($C$42:$C$47=$H43)*($D$42:$D$47&lt;&gt;"")*($E$42:$E$47&lt;&gt;""))+SUMPRODUCT(($F$42:$F$47=$H43)*($D$42:$D$47&lt;&gt;"")*($E$42:$E$47&lt;&gt;""))</f>
        <v/>
      </c>
      <c r="J43">
        <f>SUMPRODUCT(($C$42:$C$47=$H43)*($D$42:$D$47&lt;&gt;"")*($E$42:$E$47&lt;&gt;"")*($D$42:$D$47&gt;$E$42:$E$47))*3+SUMPRODUCT(($F$42:$F$47=$H43)*($D$42:$D$47&lt;&gt;"")*($E$42:$E$47&lt;&gt;"")*($E$42:$E$47&gt;$D$42:$D$47))*3+SUMPRODUCT((($C$42:$C$47=$H43)+($F$42:$F$47=$H43))*($D$42:$D$47&lt;&gt;"")*($E$42:$E$47&lt;&gt;"")*($D$42:$D$47=$E$42:$E$47))</f>
        <v/>
      </c>
      <c r="K43">
        <f>SUMPRODUCT(($C$42:$C$47=$H43)*($D$42:$D$47&lt;&gt;"")*($E$42:$E$47&lt;&gt;"")*$D$42:$D$47)+SUMPRODUCT(($F$42:$F$47=$H43)*($D$42:$D$47&lt;&gt;"")*($E$42:$E$47&lt;&gt;"")*$E$42:$E$47)</f>
        <v/>
      </c>
      <c r="L43">
        <f>SUMPRODUCT(($C$42:$C$47=$H43)*($D$42:$D$47&lt;&gt;"")*($E$42:$E$47&lt;&gt;"")*$E$42:$E$47)+SUMPRODUCT(($F$42:$F$47=$H43)*($D$42:$D$47&lt;&gt;"")*($E$42:$E$47&lt;&gt;"")*$D$42:$D$47)</f>
        <v/>
      </c>
      <c r="M43">
        <f>K43-L43</f>
        <v/>
      </c>
      <c r="N43">
        <f>J43*10000000+(M43+100)*10000+K43*10+(3-COUNTIF($H$42:$H$47,"&lt;"&amp;H43))</f>
        <v/>
      </c>
      <c r="O43">
        <f>RANK(N43,$N$42:$N$47)</f>
        <v/>
      </c>
      <c r="Q43" t="inlineStr">
        <is>
          <t>2°:</t>
        </is>
      </c>
      <c r="R43">
        <f>INDEX($H$42:$H$47,MATCH(2,$O$42:$O$47,0))</f>
        <v/>
      </c>
    </row>
    <row r="44">
      <c r="A44" t="n">
        <v>33</v>
      </c>
      <c r="B44" t="inlineStr">
        <is>
          <t>2026-06-20</t>
        </is>
      </c>
      <c r="C44" t="inlineStr">
        <is>
          <t>Alemania</t>
        </is>
      </c>
      <c r="D44" s="4" t="n"/>
      <c r="E44" s="4" t="n"/>
      <c r="F44" t="inlineStr">
        <is>
          <t>Costa de Marfil</t>
        </is>
      </c>
      <c r="H44" t="inlineStr">
        <is>
          <t>Costa de Marfil</t>
        </is>
      </c>
      <c r="I44">
        <f>SUMPRODUCT(($C$42:$C$47=$H44)*($D$42:$D$47&lt;&gt;"")*($E$42:$E$47&lt;&gt;""))+SUMPRODUCT(($F$42:$F$47=$H44)*($D$42:$D$47&lt;&gt;"")*($E$42:$E$47&lt;&gt;""))</f>
        <v/>
      </c>
      <c r="J44">
        <f>SUMPRODUCT(($C$42:$C$47=$H44)*($D$42:$D$47&lt;&gt;"")*($E$42:$E$47&lt;&gt;"")*($D$42:$D$47&gt;$E$42:$E$47))*3+SUMPRODUCT(($F$42:$F$47=$H44)*($D$42:$D$47&lt;&gt;"")*($E$42:$E$47&lt;&gt;"")*($E$42:$E$47&gt;$D$42:$D$47))*3+SUMPRODUCT((($C$42:$C$47=$H44)+($F$42:$F$47=$H44))*($D$42:$D$47&lt;&gt;"")*($E$42:$E$47&lt;&gt;"")*($D$42:$D$47=$E$42:$E$47))</f>
        <v/>
      </c>
      <c r="K44">
        <f>SUMPRODUCT(($C$42:$C$47=$H44)*($D$42:$D$47&lt;&gt;"")*($E$42:$E$47&lt;&gt;"")*$D$42:$D$47)+SUMPRODUCT(($F$42:$F$47=$H44)*($D$42:$D$47&lt;&gt;"")*($E$42:$E$47&lt;&gt;"")*$E$42:$E$47)</f>
        <v/>
      </c>
      <c r="L44">
        <f>SUMPRODUCT(($C$42:$C$47=$H44)*($D$42:$D$47&lt;&gt;"")*($E$42:$E$47&lt;&gt;"")*$E$42:$E$47)+SUMPRODUCT(($F$42:$F$47=$H44)*($D$42:$D$47&lt;&gt;"")*($E$42:$E$47&lt;&gt;"")*$D$42:$D$47)</f>
        <v/>
      </c>
      <c r="M44">
        <f>K44-L44</f>
        <v/>
      </c>
      <c r="N44">
        <f>J44*10000000+(M44+100)*10000+K44*10+(3-COUNTIF($H$42:$H$47,"&lt;"&amp;H44))</f>
        <v/>
      </c>
      <c r="O44">
        <f>RANK(N44,$N$42:$N$47)</f>
        <v/>
      </c>
      <c r="Q44" t="inlineStr">
        <is>
          <t>3°:</t>
        </is>
      </c>
      <c r="R44">
        <f>INDEX($H$42:$H$47,MATCH(3,$O$42:$O$47,0))</f>
        <v/>
      </c>
    </row>
    <row r="45">
      <c r="A45" t="n">
        <v>34</v>
      </c>
      <c r="B45" t="inlineStr">
        <is>
          <t>2026-06-20</t>
        </is>
      </c>
      <c r="C45" t="inlineStr">
        <is>
          <t>Ecuador</t>
        </is>
      </c>
      <c r="D45" s="4" t="n"/>
      <c r="E45" s="4" t="n"/>
      <c r="F45" t="inlineStr">
        <is>
          <t>Curazao</t>
        </is>
      </c>
      <c r="H45" t="inlineStr">
        <is>
          <t>Ecuador</t>
        </is>
      </c>
      <c r="I45">
        <f>SUMPRODUCT(($C$42:$C$47=$H45)*($D$42:$D$47&lt;&gt;"")*($E$42:$E$47&lt;&gt;""))+SUMPRODUCT(($F$42:$F$47=$H45)*($D$42:$D$47&lt;&gt;"")*($E$42:$E$47&lt;&gt;""))</f>
        <v/>
      </c>
      <c r="J45">
        <f>SUMPRODUCT(($C$42:$C$47=$H45)*($D$42:$D$47&lt;&gt;"")*($E$42:$E$47&lt;&gt;"")*($D$42:$D$47&gt;$E$42:$E$47))*3+SUMPRODUCT(($F$42:$F$47=$H45)*($D$42:$D$47&lt;&gt;"")*($E$42:$E$47&lt;&gt;"")*($E$42:$E$47&gt;$D$42:$D$47))*3+SUMPRODUCT((($C$42:$C$47=$H45)+($F$42:$F$47=$H45))*($D$42:$D$47&lt;&gt;"")*($E$42:$E$47&lt;&gt;"")*($D$42:$D$47=$E$42:$E$47))</f>
        <v/>
      </c>
      <c r="K45">
        <f>SUMPRODUCT(($C$42:$C$47=$H45)*($D$42:$D$47&lt;&gt;"")*($E$42:$E$47&lt;&gt;"")*$D$42:$D$47)+SUMPRODUCT(($F$42:$F$47=$H45)*($D$42:$D$47&lt;&gt;"")*($E$42:$E$47&lt;&gt;"")*$E$42:$E$47)</f>
        <v/>
      </c>
      <c r="L45">
        <f>SUMPRODUCT(($C$42:$C$47=$H45)*($D$42:$D$47&lt;&gt;"")*($E$42:$E$47&lt;&gt;"")*$E$42:$E$47)+SUMPRODUCT(($F$42:$F$47=$H45)*($D$42:$D$47&lt;&gt;"")*($E$42:$E$47&lt;&gt;"")*$D$42:$D$47)</f>
        <v/>
      </c>
      <c r="M45">
        <f>K45-L45</f>
        <v/>
      </c>
      <c r="N45">
        <f>J45*10000000+(M45+100)*10000+K45*10+(3-COUNTIF($H$42:$H$47,"&lt;"&amp;H45))</f>
        <v/>
      </c>
      <c r="O45">
        <f>RANK(N45,$N$42:$N$47)</f>
        <v/>
      </c>
    </row>
    <row r="46">
      <c r="A46" t="n">
        <v>57</v>
      </c>
      <c r="B46" t="inlineStr">
        <is>
          <t>2026-06-25</t>
        </is>
      </c>
      <c r="C46" t="inlineStr">
        <is>
          <t>Curazao</t>
        </is>
      </c>
      <c r="D46" s="4" t="n"/>
      <c r="E46" s="4" t="n"/>
      <c r="F46" t="inlineStr">
        <is>
          <t>Costa de Marfil</t>
        </is>
      </c>
    </row>
    <row r="47">
      <c r="A47" t="n">
        <v>58</v>
      </c>
      <c r="B47" t="inlineStr">
        <is>
          <t>2026-06-25</t>
        </is>
      </c>
      <c r="C47" t="inlineStr">
        <is>
          <t>Ecuador</t>
        </is>
      </c>
      <c r="D47" s="4" t="n"/>
      <c r="E47" s="4" t="n"/>
      <c r="F47" t="inlineStr">
        <is>
          <t>Alemania</t>
        </is>
      </c>
    </row>
    <row r="49">
      <c r="A49" s="2" t="inlineStr">
        <is>
          <t>GRUPO F</t>
        </is>
      </c>
    </row>
    <row r="50">
      <c r="A50" s="3" t="inlineStr">
        <is>
          <t>#</t>
        </is>
      </c>
      <c r="B50" s="3" t="inlineStr">
        <is>
          <t>Fecha</t>
        </is>
      </c>
      <c r="C50" s="3" t="inlineStr">
        <is>
          <t>Local</t>
        </is>
      </c>
      <c r="D50" s="3" t="inlineStr">
        <is>
          <t>GL</t>
        </is>
      </c>
      <c r="E50" s="3" t="inlineStr">
        <is>
          <t>GV</t>
        </is>
      </c>
      <c r="F50" s="3" t="inlineStr">
        <is>
          <t>Visitante</t>
        </is>
      </c>
      <c r="H50" s="3" t="inlineStr">
        <is>
          <t>Equipo</t>
        </is>
      </c>
      <c r="I50" s="3" t="inlineStr">
        <is>
          <t>PJ</t>
        </is>
      </c>
      <c r="J50" s="3" t="inlineStr">
        <is>
          <t>Pts</t>
        </is>
      </c>
      <c r="K50" s="3" t="inlineStr">
        <is>
          <t>GF</t>
        </is>
      </c>
      <c r="L50" s="3" t="inlineStr">
        <is>
          <t>GC</t>
        </is>
      </c>
      <c r="M50" s="3" t="inlineStr">
        <is>
          <t>Dif</t>
        </is>
      </c>
      <c r="N50" s="3" t="inlineStr">
        <is>
          <t>Score</t>
        </is>
      </c>
      <c r="O50" s="3" t="inlineStr">
        <is>
          <t>Pos</t>
        </is>
      </c>
    </row>
    <row r="51">
      <c r="A51" t="n">
        <v>11</v>
      </c>
      <c r="B51" t="inlineStr">
        <is>
          <t>2026-06-14</t>
        </is>
      </c>
      <c r="C51" t="inlineStr">
        <is>
          <t>Holanda</t>
        </is>
      </c>
      <c r="D51" s="4" t="n"/>
      <c r="E51" s="4" t="n"/>
      <c r="F51" t="inlineStr">
        <is>
          <t>Japón</t>
        </is>
      </c>
      <c r="H51" t="inlineStr">
        <is>
          <t>Holanda</t>
        </is>
      </c>
      <c r="I51">
        <f>SUMPRODUCT(($C$51:$C$56=$H51)*($D$51:$D$56&lt;&gt;"")*($E$51:$E$56&lt;&gt;""))+SUMPRODUCT(($F$51:$F$56=$H51)*($D$51:$D$56&lt;&gt;"")*($E$51:$E$56&lt;&gt;""))</f>
        <v/>
      </c>
      <c r="J51">
        <f>SUMPRODUCT(($C$51:$C$56=$H51)*($D$51:$D$56&lt;&gt;"")*($E$51:$E$56&lt;&gt;"")*($D$51:$D$56&gt;$E$51:$E$56))*3+SUMPRODUCT(($F$51:$F$56=$H51)*($D$51:$D$56&lt;&gt;"")*($E$51:$E$56&lt;&gt;"")*($E$51:$E$56&gt;$D$51:$D$56))*3+SUMPRODUCT((($C$51:$C$56=$H51)+($F$51:$F$56=$H51))*($D$51:$D$56&lt;&gt;"")*($E$51:$E$56&lt;&gt;"")*($D$51:$D$56=$E$51:$E$56))</f>
        <v/>
      </c>
      <c r="K51">
        <f>SUMPRODUCT(($C$51:$C$56=$H51)*($D$51:$D$56&lt;&gt;"")*($E$51:$E$56&lt;&gt;"")*$D$51:$D$56)+SUMPRODUCT(($F$51:$F$56=$H51)*($D$51:$D$56&lt;&gt;"")*($E$51:$E$56&lt;&gt;"")*$E$51:$E$56)</f>
        <v/>
      </c>
      <c r="L51">
        <f>SUMPRODUCT(($C$51:$C$56=$H51)*($D$51:$D$56&lt;&gt;"")*($E$51:$E$56&lt;&gt;"")*$E$51:$E$56)+SUMPRODUCT(($F$51:$F$56=$H51)*($D$51:$D$56&lt;&gt;"")*($E$51:$E$56&lt;&gt;"")*$D$51:$D$56)</f>
        <v/>
      </c>
      <c r="M51">
        <f>K51-L51</f>
        <v/>
      </c>
      <c r="N51">
        <f>J51*10000000+(M51+100)*10000+K51*10+(3-COUNTIF($H$51:$H$56,"&lt;"&amp;H51))</f>
        <v/>
      </c>
      <c r="O51">
        <f>RANK(N51,$N$51:$N$56)</f>
        <v/>
      </c>
      <c r="Q51" t="inlineStr">
        <is>
          <t>1°:</t>
        </is>
      </c>
      <c r="R51">
        <f>INDEX($H$51:$H$56,MATCH(1,$O$51:$O$56,0))</f>
        <v/>
      </c>
    </row>
    <row r="52">
      <c r="A52" t="n">
        <v>12</v>
      </c>
      <c r="B52" t="inlineStr">
        <is>
          <t>2026-06-14</t>
        </is>
      </c>
      <c r="C52" t="inlineStr">
        <is>
          <t>Suecia</t>
        </is>
      </c>
      <c r="D52" s="4" t="n"/>
      <c r="E52" s="4" t="n"/>
      <c r="F52" t="inlineStr">
        <is>
          <t>Túnez</t>
        </is>
      </c>
      <c r="H52" t="inlineStr">
        <is>
          <t>Japón</t>
        </is>
      </c>
      <c r="I52">
        <f>SUMPRODUCT(($C$51:$C$56=$H52)*($D$51:$D$56&lt;&gt;"")*($E$51:$E$56&lt;&gt;""))+SUMPRODUCT(($F$51:$F$56=$H52)*($D$51:$D$56&lt;&gt;"")*($E$51:$E$56&lt;&gt;""))</f>
        <v/>
      </c>
      <c r="J52">
        <f>SUMPRODUCT(($C$51:$C$56=$H52)*($D$51:$D$56&lt;&gt;"")*($E$51:$E$56&lt;&gt;"")*($D$51:$D$56&gt;$E$51:$E$56))*3+SUMPRODUCT(($F$51:$F$56=$H52)*($D$51:$D$56&lt;&gt;"")*($E$51:$E$56&lt;&gt;"")*($E$51:$E$56&gt;$D$51:$D$56))*3+SUMPRODUCT((($C$51:$C$56=$H52)+($F$51:$F$56=$H52))*($D$51:$D$56&lt;&gt;"")*($E$51:$E$56&lt;&gt;"")*($D$51:$D$56=$E$51:$E$56))</f>
        <v/>
      </c>
      <c r="K52">
        <f>SUMPRODUCT(($C$51:$C$56=$H52)*($D$51:$D$56&lt;&gt;"")*($E$51:$E$56&lt;&gt;"")*$D$51:$D$56)+SUMPRODUCT(($F$51:$F$56=$H52)*($D$51:$D$56&lt;&gt;"")*($E$51:$E$56&lt;&gt;"")*$E$51:$E$56)</f>
        <v/>
      </c>
      <c r="L52">
        <f>SUMPRODUCT(($C$51:$C$56=$H52)*($D$51:$D$56&lt;&gt;"")*($E$51:$E$56&lt;&gt;"")*$E$51:$E$56)+SUMPRODUCT(($F$51:$F$56=$H52)*($D$51:$D$56&lt;&gt;"")*($E$51:$E$56&lt;&gt;"")*$D$51:$D$56)</f>
        <v/>
      </c>
      <c r="M52">
        <f>K52-L52</f>
        <v/>
      </c>
      <c r="N52">
        <f>J52*10000000+(M52+100)*10000+K52*10+(3-COUNTIF($H$51:$H$56,"&lt;"&amp;H52))</f>
        <v/>
      </c>
      <c r="O52">
        <f>RANK(N52,$N$51:$N$56)</f>
        <v/>
      </c>
      <c r="Q52" t="inlineStr">
        <is>
          <t>2°:</t>
        </is>
      </c>
      <c r="R52">
        <f>INDEX($H$51:$H$56,MATCH(2,$O$51:$O$56,0))</f>
        <v/>
      </c>
    </row>
    <row r="53">
      <c r="A53" t="n">
        <v>35</v>
      </c>
      <c r="B53" t="inlineStr">
        <is>
          <t>2026-06-20</t>
        </is>
      </c>
      <c r="C53" t="inlineStr">
        <is>
          <t>Holanda</t>
        </is>
      </c>
      <c r="D53" s="4" t="n"/>
      <c r="E53" s="4" t="n"/>
      <c r="F53" t="inlineStr">
        <is>
          <t>Suecia</t>
        </is>
      </c>
      <c r="H53" t="inlineStr">
        <is>
          <t>Suecia</t>
        </is>
      </c>
      <c r="I53">
        <f>SUMPRODUCT(($C$51:$C$56=$H53)*($D$51:$D$56&lt;&gt;"")*($E$51:$E$56&lt;&gt;""))+SUMPRODUCT(($F$51:$F$56=$H53)*($D$51:$D$56&lt;&gt;"")*($E$51:$E$56&lt;&gt;""))</f>
        <v/>
      </c>
      <c r="J53">
        <f>SUMPRODUCT(($C$51:$C$56=$H53)*($D$51:$D$56&lt;&gt;"")*($E$51:$E$56&lt;&gt;"")*($D$51:$D$56&gt;$E$51:$E$56))*3+SUMPRODUCT(($F$51:$F$56=$H53)*($D$51:$D$56&lt;&gt;"")*($E$51:$E$56&lt;&gt;"")*($E$51:$E$56&gt;$D$51:$D$56))*3+SUMPRODUCT((($C$51:$C$56=$H53)+($F$51:$F$56=$H53))*($D$51:$D$56&lt;&gt;"")*($E$51:$E$56&lt;&gt;"")*($D$51:$D$56=$E$51:$E$56))</f>
        <v/>
      </c>
      <c r="K53">
        <f>SUMPRODUCT(($C$51:$C$56=$H53)*($D$51:$D$56&lt;&gt;"")*($E$51:$E$56&lt;&gt;"")*$D$51:$D$56)+SUMPRODUCT(($F$51:$F$56=$H53)*($D$51:$D$56&lt;&gt;"")*($E$51:$E$56&lt;&gt;"")*$E$51:$E$56)</f>
        <v/>
      </c>
      <c r="L53">
        <f>SUMPRODUCT(($C$51:$C$56=$H53)*($D$51:$D$56&lt;&gt;"")*($E$51:$E$56&lt;&gt;"")*$E$51:$E$56)+SUMPRODUCT(($F$51:$F$56=$H53)*($D$51:$D$56&lt;&gt;"")*($E$51:$E$56&lt;&gt;"")*$D$51:$D$56)</f>
        <v/>
      </c>
      <c r="M53">
        <f>K53-L53</f>
        <v/>
      </c>
      <c r="N53">
        <f>J53*10000000+(M53+100)*10000+K53*10+(3-COUNTIF($H$51:$H$56,"&lt;"&amp;H53))</f>
        <v/>
      </c>
      <c r="O53">
        <f>RANK(N53,$N$51:$N$56)</f>
        <v/>
      </c>
      <c r="Q53" t="inlineStr">
        <is>
          <t>3°:</t>
        </is>
      </c>
      <c r="R53">
        <f>INDEX($H$51:$H$56,MATCH(3,$O$51:$O$56,0))</f>
        <v/>
      </c>
    </row>
    <row r="54">
      <c r="A54" t="n">
        <v>36</v>
      </c>
      <c r="B54" t="inlineStr">
        <is>
          <t>2026-06-20</t>
        </is>
      </c>
      <c r="C54" t="inlineStr">
        <is>
          <t>Túnez</t>
        </is>
      </c>
      <c r="D54" s="4" t="n"/>
      <c r="E54" s="4" t="n"/>
      <c r="F54" t="inlineStr">
        <is>
          <t>Japón</t>
        </is>
      </c>
      <c r="H54" t="inlineStr">
        <is>
          <t>Túnez</t>
        </is>
      </c>
      <c r="I54">
        <f>SUMPRODUCT(($C$51:$C$56=$H54)*($D$51:$D$56&lt;&gt;"")*($E$51:$E$56&lt;&gt;""))+SUMPRODUCT(($F$51:$F$56=$H54)*($D$51:$D$56&lt;&gt;"")*($E$51:$E$56&lt;&gt;""))</f>
        <v/>
      </c>
      <c r="J54">
        <f>SUMPRODUCT(($C$51:$C$56=$H54)*($D$51:$D$56&lt;&gt;"")*($E$51:$E$56&lt;&gt;"")*($D$51:$D$56&gt;$E$51:$E$56))*3+SUMPRODUCT(($F$51:$F$56=$H54)*($D$51:$D$56&lt;&gt;"")*($E$51:$E$56&lt;&gt;"")*($E$51:$E$56&gt;$D$51:$D$56))*3+SUMPRODUCT((($C$51:$C$56=$H54)+($F$51:$F$56=$H54))*($D$51:$D$56&lt;&gt;"")*($E$51:$E$56&lt;&gt;"")*($D$51:$D$56=$E$51:$E$56))</f>
        <v/>
      </c>
      <c r="K54">
        <f>SUMPRODUCT(($C$51:$C$56=$H54)*($D$51:$D$56&lt;&gt;"")*($E$51:$E$56&lt;&gt;"")*$D$51:$D$56)+SUMPRODUCT(($F$51:$F$56=$H54)*($D$51:$D$56&lt;&gt;"")*($E$51:$E$56&lt;&gt;"")*$E$51:$E$56)</f>
        <v/>
      </c>
      <c r="L54">
        <f>SUMPRODUCT(($C$51:$C$56=$H54)*($D$51:$D$56&lt;&gt;"")*($E$51:$E$56&lt;&gt;"")*$E$51:$E$56)+SUMPRODUCT(($F$51:$F$56=$H54)*($D$51:$D$56&lt;&gt;"")*($E$51:$E$56&lt;&gt;"")*$D$51:$D$56)</f>
        <v/>
      </c>
      <c r="M54">
        <f>K54-L54</f>
        <v/>
      </c>
      <c r="N54">
        <f>J54*10000000+(M54+100)*10000+K54*10+(3-COUNTIF($H$51:$H$56,"&lt;"&amp;H54))</f>
        <v/>
      </c>
      <c r="O54">
        <f>RANK(N54,$N$51:$N$56)</f>
        <v/>
      </c>
    </row>
    <row r="55">
      <c r="A55" t="n">
        <v>59</v>
      </c>
      <c r="B55" t="inlineStr">
        <is>
          <t>2026-06-25</t>
        </is>
      </c>
      <c r="C55" t="inlineStr">
        <is>
          <t>Japón</t>
        </is>
      </c>
      <c r="D55" s="4" t="n"/>
      <c r="E55" s="4" t="n"/>
      <c r="F55" t="inlineStr">
        <is>
          <t>Suecia</t>
        </is>
      </c>
    </row>
    <row r="56">
      <c r="A56" t="n">
        <v>60</v>
      </c>
      <c r="B56" t="inlineStr">
        <is>
          <t>2026-06-25</t>
        </is>
      </c>
      <c r="C56" t="inlineStr">
        <is>
          <t>Túnez</t>
        </is>
      </c>
      <c r="D56" s="4" t="n"/>
      <c r="E56" s="4" t="n"/>
      <c r="F56" t="inlineStr">
        <is>
          <t>Holanda</t>
        </is>
      </c>
    </row>
    <row r="58">
      <c r="A58" s="2" t="inlineStr">
        <is>
          <t>GRUPO G</t>
        </is>
      </c>
    </row>
    <row r="59">
      <c r="A59" s="3" t="inlineStr">
        <is>
          <t>#</t>
        </is>
      </c>
      <c r="B59" s="3" t="inlineStr">
        <is>
          <t>Fecha</t>
        </is>
      </c>
      <c r="C59" s="3" t="inlineStr">
        <is>
          <t>Local</t>
        </is>
      </c>
      <c r="D59" s="3" t="inlineStr">
        <is>
          <t>GL</t>
        </is>
      </c>
      <c r="E59" s="3" t="inlineStr">
        <is>
          <t>GV</t>
        </is>
      </c>
      <c r="F59" s="3" t="inlineStr">
        <is>
          <t>Visitante</t>
        </is>
      </c>
      <c r="H59" s="3" t="inlineStr">
        <is>
          <t>Equipo</t>
        </is>
      </c>
      <c r="I59" s="3" t="inlineStr">
        <is>
          <t>PJ</t>
        </is>
      </c>
      <c r="J59" s="3" t="inlineStr">
        <is>
          <t>Pts</t>
        </is>
      </c>
      <c r="K59" s="3" t="inlineStr">
        <is>
          <t>GF</t>
        </is>
      </c>
      <c r="L59" s="3" t="inlineStr">
        <is>
          <t>GC</t>
        </is>
      </c>
      <c r="M59" s="3" t="inlineStr">
        <is>
          <t>Dif</t>
        </is>
      </c>
      <c r="N59" s="3" t="inlineStr">
        <is>
          <t>Score</t>
        </is>
      </c>
      <c r="O59" s="3" t="inlineStr">
        <is>
          <t>Pos</t>
        </is>
      </c>
    </row>
    <row r="60">
      <c r="A60" t="n">
        <v>13</v>
      </c>
      <c r="B60" t="inlineStr">
        <is>
          <t>2026-06-15</t>
        </is>
      </c>
      <c r="C60" t="inlineStr">
        <is>
          <t>Bélgica</t>
        </is>
      </c>
      <c r="D60" s="4" t="n"/>
      <c r="E60" s="4" t="n"/>
      <c r="F60" t="inlineStr">
        <is>
          <t>Egipto</t>
        </is>
      </c>
      <c r="H60" t="inlineStr">
        <is>
          <t>Bélgica</t>
        </is>
      </c>
      <c r="I60">
        <f>SUMPRODUCT(($C$60:$C$65=$H60)*($D$60:$D$65&lt;&gt;"")*($E$60:$E$65&lt;&gt;""))+SUMPRODUCT(($F$60:$F$65=$H60)*($D$60:$D$65&lt;&gt;"")*($E$60:$E$65&lt;&gt;""))</f>
        <v/>
      </c>
      <c r="J60">
        <f>SUMPRODUCT(($C$60:$C$65=$H60)*($D$60:$D$65&lt;&gt;"")*($E$60:$E$65&lt;&gt;"")*($D$60:$D$65&gt;$E$60:$E$65))*3+SUMPRODUCT(($F$60:$F$65=$H60)*($D$60:$D$65&lt;&gt;"")*($E$60:$E$65&lt;&gt;"")*($E$60:$E$65&gt;$D$60:$D$65))*3+SUMPRODUCT((($C$60:$C$65=$H60)+($F$60:$F$65=$H60))*($D$60:$D$65&lt;&gt;"")*($E$60:$E$65&lt;&gt;"")*($D$60:$D$65=$E$60:$E$65))</f>
        <v/>
      </c>
      <c r="K60">
        <f>SUMPRODUCT(($C$60:$C$65=$H60)*($D$60:$D$65&lt;&gt;"")*($E$60:$E$65&lt;&gt;"")*$D$60:$D$65)+SUMPRODUCT(($F$60:$F$65=$H60)*($D$60:$D$65&lt;&gt;"")*($E$60:$E$65&lt;&gt;"")*$E$60:$E$65)</f>
        <v/>
      </c>
      <c r="L60">
        <f>SUMPRODUCT(($C$60:$C$65=$H60)*($D$60:$D$65&lt;&gt;"")*($E$60:$E$65&lt;&gt;"")*$E$60:$E$65)+SUMPRODUCT(($F$60:$F$65=$H60)*($D$60:$D$65&lt;&gt;"")*($E$60:$E$65&lt;&gt;"")*$D$60:$D$65)</f>
        <v/>
      </c>
      <c r="M60">
        <f>K60-L60</f>
        <v/>
      </c>
      <c r="N60">
        <f>J60*10000000+(M60+100)*10000+K60*10+(3-COUNTIF($H$60:$H$65,"&lt;"&amp;H60))</f>
        <v/>
      </c>
      <c r="O60">
        <f>RANK(N60,$N$60:$N$65)</f>
        <v/>
      </c>
      <c r="Q60" t="inlineStr">
        <is>
          <t>1°:</t>
        </is>
      </c>
      <c r="R60">
        <f>INDEX($H$60:$H$65,MATCH(1,$O$60:$O$65,0))</f>
        <v/>
      </c>
    </row>
    <row r="61">
      <c r="A61" t="n">
        <v>14</v>
      </c>
      <c r="B61" t="inlineStr">
        <is>
          <t>2026-06-15</t>
        </is>
      </c>
      <c r="C61" t="inlineStr">
        <is>
          <t>Irán</t>
        </is>
      </c>
      <c r="D61" s="4" t="n"/>
      <c r="E61" s="4" t="n"/>
      <c r="F61" t="inlineStr">
        <is>
          <t>Nueva Zelanda</t>
        </is>
      </c>
      <c r="H61" t="inlineStr">
        <is>
          <t>Egipto</t>
        </is>
      </c>
      <c r="I61">
        <f>SUMPRODUCT(($C$60:$C$65=$H61)*($D$60:$D$65&lt;&gt;"")*($E$60:$E$65&lt;&gt;""))+SUMPRODUCT(($F$60:$F$65=$H61)*($D$60:$D$65&lt;&gt;"")*($E$60:$E$65&lt;&gt;""))</f>
        <v/>
      </c>
      <c r="J61">
        <f>SUMPRODUCT(($C$60:$C$65=$H61)*($D$60:$D$65&lt;&gt;"")*($E$60:$E$65&lt;&gt;"")*($D$60:$D$65&gt;$E$60:$E$65))*3+SUMPRODUCT(($F$60:$F$65=$H61)*($D$60:$D$65&lt;&gt;"")*($E$60:$E$65&lt;&gt;"")*($E$60:$E$65&gt;$D$60:$D$65))*3+SUMPRODUCT((($C$60:$C$65=$H61)+($F$60:$F$65=$H61))*($D$60:$D$65&lt;&gt;"")*($E$60:$E$65&lt;&gt;"")*($D$60:$D$65=$E$60:$E$65))</f>
        <v/>
      </c>
      <c r="K61">
        <f>SUMPRODUCT(($C$60:$C$65=$H61)*($D$60:$D$65&lt;&gt;"")*($E$60:$E$65&lt;&gt;"")*$D$60:$D$65)+SUMPRODUCT(($F$60:$F$65=$H61)*($D$60:$D$65&lt;&gt;"")*($E$60:$E$65&lt;&gt;"")*$E$60:$E$65)</f>
        <v/>
      </c>
      <c r="L61">
        <f>SUMPRODUCT(($C$60:$C$65=$H61)*($D$60:$D$65&lt;&gt;"")*($E$60:$E$65&lt;&gt;"")*$E$60:$E$65)+SUMPRODUCT(($F$60:$F$65=$H61)*($D$60:$D$65&lt;&gt;"")*($E$60:$E$65&lt;&gt;"")*$D$60:$D$65)</f>
        <v/>
      </c>
      <c r="M61">
        <f>K61-L61</f>
        <v/>
      </c>
      <c r="N61">
        <f>J61*10000000+(M61+100)*10000+K61*10+(3-COUNTIF($H$60:$H$65,"&lt;"&amp;H61))</f>
        <v/>
      </c>
      <c r="O61">
        <f>RANK(N61,$N$60:$N$65)</f>
        <v/>
      </c>
      <c r="Q61" t="inlineStr">
        <is>
          <t>2°:</t>
        </is>
      </c>
      <c r="R61">
        <f>INDEX($H$60:$H$65,MATCH(2,$O$60:$O$65,0))</f>
        <v/>
      </c>
    </row>
    <row r="62">
      <c r="A62" t="n">
        <v>37</v>
      </c>
      <c r="B62" t="inlineStr">
        <is>
          <t>2026-06-21</t>
        </is>
      </c>
      <c r="C62" t="inlineStr">
        <is>
          <t>Bélgica</t>
        </is>
      </c>
      <c r="D62" s="4" t="n"/>
      <c r="E62" s="4" t="n"/>
      <c r="F62" t="inlineStr">
        <is>
          <t>Irán</t>
        </is>
      </c>
      <c r="H62" t="inlineStr">
        <is>
          <t>Irán</t>
        </is>
      </c>
      <c r="I62">
        <f>SUMPRODUCT(($C$60:$C$65=$H62)*($D$60:$D$65&lt;&gt;"")*($E$60:$E$65&lt;&gt;""))+SUMPRODUCT(($F$60:$F$65=$H62)*($D$60:$D$65&lt;&gt;"")*($E$60:$E$65&lt;&gt;""))</f>
        <v/>
      </c>
      <c r="J62">
        <f>SUMPRODUCT(($C$60:$C$65=$H62)*($D$60:$D$65&lt;&gt;"")*($E$60:$E$65&lt;&gt;"")*($D$60:$D$65&gt;$E$60:$E$65))*3+SUMPRODUCT(($F$60:$F$65=$H62)*($D$60:$D$65&lt;&gt;"")*($E$60:$E$65&lt;&gt;"")*($E$60:$E$65&gt;$D$60:$D$65))*3+SUMPRODUCT((($C$60:$C$65=$H62)+($F$60:$F$65=$H62))*($D$60:$D$65&lt;&gt;"")*($E$60:$E$65&lt;&gt;"")*($D$60:$D$65=$E$60:$E$65))</f>
        <v/>
      </c>
      <c r="K62">
        <f>SUMPRODUCT(($C$60:$C$65=$H62)*($D$60:$D$65&lt;&gt;"")*($E$60:$E$65&lt;&gt;"")*$D$60:$D$65)+SUMPRODUCT(($F$60:$F$65=$H62)*($D$60:$D$65&lt;&gt;"")*($E$60:$E$65&lt;&gt;"")*$E$60:$E$65)</f>
        <v/>
      </c>
      <c r="L62">
        <f>SUMPRODUCT(($C$60:$C$65=$H62)*($D$60:$D$65&lt;&gt;"")*($E$60:$E$65&lt;&gt;"")*$E$60:$E$65)+SUMPRODUCT(($F$60:$F$65=$H62)*($D$60:$D$65&lt;&gt;"")*($E$60:$E$65&lt;&gt;"")*$D$60:$D$65)</f>
        <v/>
      </c>
      <c r="M62">
        <f>K62-L62</f>
        <v/>
      </c>
      <c r="N62">
        <f>J62*10000000+(M62+100)*10000+K62*10+(3-COUNTIF($H$60:$H$65,"&lt;"&amp;H62))</f>
        <v/>
      </c>
      <c r="O62">
        <f>RANK(N62,$N$60:$N$65)</f>
        <v/>
      </c>
      <c r="Q62" t="inlineStr">
        <is>
          <t>3°:</t>
        </is>
      </c>
      <c r="R62">
        <f>INDEX($H$60:$H$65,MATCH(3,$O$60:$O$65,0))</f>
        <v/>
      </c>
    </row>
    <row r="63">
      <c r="A63" t="n">
        <v>38</v>
      </c>
      <c r="B63" t="inlineStr">
        <is>
          <t>2026-06-21</t>
        </is>
      </c>
      <c r="C63" t="inlineStr">
        <is>
          <t>Nueva Zelanda</t>
        </is>
      </c>
      <c r="D63" s="4" t="n"/>
      <c r="E63" s="4" t="n"/>
      <c r="F63" t="inlineStr">
        <is>
          <t>Egipto</t>
        </is>
      </c>
      <c r="H63" t="inlineStr">
        <is>
          <t>Nueva Zelanda</t>
        </is>
      </c>
      <c r="I63">
        <f>SUMPRODUCT(($C$60:$C$65=$H63)*($D$60:$D$65&lt;&gt;"")*($E$60:$E$65&lt;&gt;""))+SUMPRODUCT(($F$60:$F$65=$H63)*($D$60:$D$65&lt;&gt;"")*($E$60:$E$65&lt;&gt;""))</f>
        <v/>
      </c>
      <c r="J63">
        <f>SUMPRODUCT(($C$60:$C$65=$H63)*($D$60:$D$65&lt;&gt;"")*($E$60:$E$65&lt;&gt;"")*($D$60:$D$65&gt;$E$60:$E$65))*3+SUMPRODUCT(($F$60:$F$65=$H63)*($D$60:$D$65&lt;&gt;"")*($E$60:$E$65&lt;&gt;"")*($E$60:$E$65&gt;$D$60:$D$65))*3+SUMPRODUCT((($C$60:$C$65=$H63)+($F$60:$F$65=$H63))*($D$60:$D$65&lt;&gt;"")*($E$60:$E$65&lt;&gt;"")*($D$60:$D$65=$E$60:$E$65))</f>
        <v/>
      </c>
      <c r="K63">
        <f>SUMPRODUCT(($C$60:$C$65=$H63)*($D$60:$D$65&lt;&gt;"")*($E$60:$E$65&lt;&gt;"")*$D$60:$D$65)+SUMPRODUCT(($F$60:$F$65=$H63)*($D$60:$D$65&lt;&gt;"")*($E$60:$E$65&lt;&gt;"")*$E$60:$E$65)</f>
        <v/>
      </c>
      <c r="L63">
        <f>SUMPRODUCT(($C$60:$C$65=$H63)*($D$60:$D$65&lt;&gt;"")*($E$60:$E$65&lt;&gt;"")*$E$60:$E$65)+SUMPRODUCT(($F$60:$F$65=$H63)*($D$60:$D$65&lt;&gt;"")*($E$60:$E$65&lt;&gt;"")*$D$60:$D$65)</f>
        <v/>
      </c>
      <c r="M63">
        <f>K63-L63</f>
        <v/>
      </c>
      <c r="N63">
        <f>J63*10000000+(M63+100)*10000+K63*10+(3-COUNTIF($H$60:$H$65,"&lt;"&amp;H63))</f>
        <v/>
      </c>
      <c r="O63">
        <f>RANK(N63,$N$60:$N$65)</f>
        <v/>
      </c>
    </row>
    <row r="64">
      <c r="A64" t="n">
        <v>61</v>
      </c>
      <c r="B64" t="inlineStr">
        <is>
          <t>2026-06-26</t>
        </is>
      </c>
      <c r="C64" t="inlineStr">
        <is>
          <t>Egipto</t>
        </is>
      </c>
      <c r="D64" s="4" t="n"/>
      <c r="E64" s="4" t="n"/>
      <c r="F64" t="inlineStr">
        <is>
          <t>Irán</t>
        </is>
      </c>
    </row>
    <row r="65">
      <c r="A65" t="n">
        <v>62</v>
      </c>
      <c r="B65" t="inlineStr">
        <is>
          <t>2026-06-26</t>
        </is>
      </c>
      <c r="C65" t="inlineStr">
        <is>
          <t>Nueva Zelanda</t>
        </is>
      </c>
      <c r="D65" s="4" t="n"/>
      <c r="E65" s="4" t="n"/>
      <c r="F65" t="inlineStr">
        <is>
          <t>Bélgica</t>
        </is>
      </c>
    </row>
    <row r="67">
      <c r="A67" s="2" t="inlineStr">
        <is>
          <t>GRUPO H</t>
        </is>
      </c>
    </row>
    <row r="68">
      <c r="A68" s="3" t="inlineStr">
        <is>
          <t>#</t>
        </is>
      </c>
      <c r="B68" s="3" t="inlineStr">
        <is>
          <t>Fecha</t>
        </is>
      </c>
      <c r="C68" s="3" t="inlineStr">
        <is>
          <t>Local</t>
        </is>
      </c>
      <c r="D68" s="3" t="inlineStr">
        <is>
          <t>GL</t>
        </is>
      </c>
      <c r="E68" s="3" t="inlineStr">
        <is>
          <t>GV</t>
        </is>
      </c>
      <c r="F68" s="3" t="inlineStr">
        <is>
          <t>Visitante</t>
        </is>
      </c>
      <c r="H68" s="3" t="inlineStr">
        <is>
          <t>Equipo</t>
        </is>
      </c>
      <c r="I68" s="3" t="inlineStr">
        <is>
          <t>PJ</t>
        </is>
      </c>
      <c r="J68" s="3" t="inlineStr">
        <is>
          <t>Pts</t>
        </is>
      </c>
      <c r="K68" s="3" t="inlineStr">
        <is>
          <t>GF</t>
        </is>
      </c>
      <c r="L68" s="3" t="inlineStr">
        <is>
          <t>GC</t>
        </is>
      </c>
      <c r="M68" s="3" t="inlineStr">
        <is>
          <t>Dif</t>
        </is>
      </c>
      <c r="N68" s="3" t="inlineStr">
        <is>
          <t>Score</t>
        </is>
      </c>
      <c r="O68" s="3" t="inlineStr">
        <is>
          <t>Pos</t>
        </is>
      </c>
    </row>
    <row r="69">
      <c r="A69" t="n">
        <v>15</v>
      </c>
      <c r="B69" t="inlineStr">
        <is>
          <t>2026-06-15</t>
        </is>
      </c>
      <c r="C69" t="inlineStr">
        <is>
          <t>España</t>
        </is>
      </c>
      <c r="D69" s="4" t="n"/>
      <c r="E69" s="4" t="n"/>
      <c r="F69" t="inlineStr">
        <is>
          <t>Cabo Verde</t>
        </is>
      </c>
      <c r="H69" t="inlineStr">
        <is>
          <t>España</t>
        </is>
      </c>
      <c r="I69">
        <f>SUMPRODUCT(($C$69:$C$74=$H69)*($D$69:$D$74&lt;&gt;"")*($E$69:$E$74&lt;&gt;""))+SUMPRODUCT(($F$69:$F$74=$H69)*($D$69:$D$74&lt;&gt;"")*($E$69:$E$74&lt;&gt;""))</f>
        <v/>
      </c>
      <c r="J69">
        <f>SUMPRODUCT(($C$69:$C$74=$H69)*($D$69:$D$74&lt;&gt;"")*($E$69:$E$74&lt;&gt;"")*($D$69:$D$74&gt;$E$69:$E$74))*3+SUMPRODUCT(($F$69:$F$74=$H69)*($D$69:$D$74&lt;&gt;"")*($E$69:$E$74&lt;&gt;"")*($E$69:$E$74&gt;$D$69:$D$74))*3+SUMPRODUCT((($C$69:$C$74=$H69)+($F$69:$F$74=$H69))*($D$69:$D$74&lt;&gt;"")*($E$69:$E$74&lt;&gt;"")*($D$69:$D$74=$E$69:$E$74))</f>
        <v/>
      </c>
      <c r="K69">
        <f>SUMPRODUCT(($C$69:$C$74=$H69)*($D$69:$D$74&lt;&gt;"")*($E$69:$E$74&lt;&gt;"")*$D$69:$D$74)+SUMPRODUCT(($F$69:$F$74=$H69)*($D$69:$D$74&lt;&gt;"")*($E$69:$E$74&lt;&gt;"")*$E$69:$E$74)</f>
        <v/>
      </c>
      <c r="L69">
        <f>SUMPRODUCT(($C$69:$C$74=$H69)*($D$69:$D$74&lt;&gt;"")*($E$69:$E$74&lt;&gt;"")*$E$69:$E$74)+SUMPRODUCT(($F$69:$F$74=$H69)*($D$69:$D$74&lt;&gt;"")*($E$69:$E$74&lt;&gt;"")*$D$69:$D$74)</f>
        <v/>
      </c>
      <c r="M69">
        <f>K69-L69</f>
        <v/>
      </c>
      <c r="N69">
        <f>J69*10000000+(M69+100)*10000+K69*10+(3-COUNTIF($H$69:$H$74,"&lt;"&amp;H69))</f>
        <v/>
      </c>
      <c r="O69">
        <f>RANK(N69,$N$69:$N$74)</f>
        <v/>
      </c>
      <c r="Q69" t="inlineStr">
        <is>
          <t>1°:</t>
        </is>
      </c>
      <c r="R69">
        <f>INDEX($H$69:$H$74,MATCH(1,$O$69:$O$74,0))</f>
        <v/>
      </c>
    </row>
    <row r="70">
      <c r="A70" t="n">
        <v>16</v>
      </c>
      <c r="B70" t="inlineStr">
        <is>
          <t>2026-06-15</t>
        </is>
      </c>
      <c r="C70" t="inlineStr">
        <is>
          <t>Arabia Saudita</t>
        </is>
      </c>
      <c r="D70" s="4" t="n"/>
      <c r="E70" s="4" t="n"/>
      <c r="F70" t="inlineStr">
        <is>
          <t>Uruguay</t>
        </is>
      </c>
      <c r="H70" t="inlineStr">
        <is>
          <t>Cabo Verde</t>
        </is>
      </c>
      <c r="I70">
        <f>SUMPRODUCT(($C$69:$C$74=$H70)*($D$69:$D$74&lt;&gt;"")*($E$69:$E$74&lt;&gt;""))+SUMPRODUCT(($F$69:$F$74=$H70)*($D$69:$D$74&lt;&gt;"")*($E$69:$E$74&lt;&gt;""))</f>
        <v/>
      </c>
      <c r="J70">
        <f>SUMPRODUCT(($C$69:$C$74=$H70)*($D$69:$D$74&lt;&gt;"")*($E$69:$E$74&lt;&gt;"")*($D$69:$D$74&gt;$E$69:$E$74))*3+SUMPRODUCT(($F$69:$F$74=$H70)*($D$69:$D$74&lt;&gt;"")*($E$69:$E$74&lt;&gt;"")*($E$69:$E$74&gt;$D$69:$D$74))*3+SUMPRODUCT((($C$69:$C$74=$H70)+($F$69:$F$74=$H70))*($D$69:$D$74&lt;&gt;"")*($E$69:$E$74&lt;&gt;"")*($D$69:$D$74=$E$69:$E$74))</f>
        <v/>
      </c>
      <c r="K70">
        <f>SUMPRODUCT(($C$69:$C$74=$H70)*($D$69:$D$74&lt;&gt;"")*($E$69:$E$74&lt;&gt;"")*$D$69:$D$74)+SUMPRODUCT(($F$69:$F$74=$H70)*($D$69:$D$74&lt;&gt;"")*($E$69:$E$74&lt;&gt;"")*$E$69:$E$74)</f>
        <v/>
      </c>
      <c r="L70">
        <f>SUMPRODUCT(($C$69:$C$74=$H70)*($D$69:$D$74&lt;&gt;"")*($E$69:$E$74&lt;&gt;"")*$E$69:$E$74)+SUMPRODUCT(($F$69:$F$74=$H70)*($D$69:$D$74&lt;&gt;"")*($E$69:$E$74&lt;&gt;"")*$D$69:$D$74)</f>
        <v/>
      </c>
      <c r="M70">
        <f>K70-L70</f>
        <v/>
      </c>
      <c r="N70">
        <f>J70*10000000+(M70+100)*10000+K70*10+(3-COUNTIF($H$69:$H$74,"&lt;"&amp;H70))</f>
        <v/>
      </c>
      <c r="O70">
        <f>RANK(N70,$N$69:$N$74)</f>
        <v/>
      </c>
      <c r="Q70" t="inlineStr">
        <is>
          <t>2°:</t>
        </is>
      </c>
      <c r="R70">
        <f>INDEX($H$69:$H$74,MATCH(2,$O$69:$O$74,0))</f>
        <v/>
      </c>
    </row>
    <row r="71">
      <c r="A71" t="n">
        <v>39</v>
      </c>
      <c r="B71" t="inlineStr">
        <is>
          <t>2026-06-21</t>
        </is>
      </c>
      <c r="C71" t="inlineStr">
        <is>
          <t>España</t>
        </is>
      </c>
      <c r="D71" s="4" t="n"/>
      <c r="E71" s="4" t="n"/>
      <c r="F71" t="inlineStr">
        <is>
          <t>Arabia Saudita</t>
        </is>
      </c>
      <c r="H71" t="inlineStr">
        <is>
          <t>Arabia Saudita</t>
        </is>
      </c>
      <c r="I71">
        <f>SUMPRODUCT(($C$69:$C$74=$H71)*($D$69:$D$74&lt;&gt;"")*($E$69:$E$74&lt;&gt;""))+SUMPRODUCT(($F$69:$F$74=$H71)*($D$69:$D$74&lt;&gt;"")*($E$69:$E$74&lt;&gt;""))</f>
        <v/>
      </c>
      <c r="J71">
        <f>SUMPRODUCT(($C$69:$C$74=$H71)*($D$69:$D$74&lt;&gt;"")*($E$69:$E$74&lt;&gt;"")*($D$69:$D$74&gt;$E$69:$E$74))*3+SUMPRODUCT(($F$69:$F$74=$H71)*($D$69:$D$74&lt;&gt;"")*($E$69:$E$74&lt;&gt;"")*($E$69:$E$74&gt;$D$69:$D$74))*3+SUMPRODUCT((($C$69:$C$74=$H71)+($F$69:$F$74=$H71))*($D$69:$D$74&lt;&gt;"")*($E$69:$E$74&lt;&gt;"")*($D$69:$D$74=$E$69:$E$74))</f>
        <v/>
      </c>
      <c r="K71">
        <f>SUMPRODUCT(($C$69:$C$74=$H71)*($D$69:$D$74&lt;&gt;"")*($E$69:$E$74&lt;&gt;"")*$D$69:$D$74)+SUMPRODUCT(($F$69:$F$74=$H71)*($D$69:$D$74&lt;&gt;"")*($E$69:$E$74&lt;&gt;"")*$E$69:$E$74)</f>
        <v/>
      </c>
      <c r="L71">
        <f>SUMPRODUCT(($C$69:$C$74=$H71)*($D$69:$D$74&lt;&gt;"")*($E$69:$E$74&lt;&gt;"")*$E$69:$E$74)+SUMPRODUCT(($F$69:$F$74=$H71)*($D$69:$D$74&lt;&gt;"")*($E$69:$E$74&lt;&gt;"")*$D$69:$D$74)</f>
        <v/>
      </c>
      <c r="M71">
        <f>K71-L71</f>
        <v/>
      </c>
      <c r="N71">
        <f>J71*10000000+(M71+100)*10000+K71*10+(3-COUNTIF($H$69:$H$74,"&lt;"&amp;H71))</f>
        <v/>
      </c>
      <c r="O71">
        <f>RANK(N71,$N$69:$N$74)</f>
        <v/>
      </c>
      <c r="Q71" t="inlineStr">
        <is>
          <t>3°:</t>
        </is>
      </c>
      <c r="R71">
        <f>INDEX($H$69:$H$74,MATCH(3,$O$69:$O$74,0))</f>
        <v/>
      </c>
    </row>
    <row r="72">
      <c r="A72" t="n">
        <v>40</v>
      </c>
      <c r="B72" t="inlineStr">
        <is>
          <t>2026-06-21</t>
        </is>
      </c>
      <c r="C72" t="inlineStr">
        <is>
          <t>Uruguay</t>
        </is>
      </c>
      <c r="D72" s="4" t="n"/>
      <c r="E72" s="4" t="n"/>
      <c r="F72" t="inlineStr">
        <is>
          <t>Cabo Verde</t>
        </is>
      </c>
      <c r="H72" t="inlineStr">
        <is>
          <t>Uruguay</t>
        </is>
      </c>
      <c r="I72">
        <f>SUMPRODUCT(($C$69:$C$74=$H72)*($D$69:$D$74&lt;&gt;"")*($E$69:$E$74&lt;&gt;""))+SUMPRODUCT(($F$69:$F$74=$H72)*($D$69:$D$74&lt;&gt;"")*($E$69:$E$74&lt;&gt;""))</f>
        <v/>
      </c>
      <c r="J72">
        <f>SUMPRODUCT(($C$69:$C$74=$H72)*($D$69:$D$74&lt;&gt;"")*($E$69:$E$74&lt;&gt;"")*($D$69:$D$74&gt;$E$69:$E$74))*3+SUMPRODUCT(($F$69:$F$74=$H72)*($D$69:$D$74&lt;&gt;"")*($E$69:$E$74&lt;&gt;"")*($E$69:$E$74&gt;$D$69:$D$74))*3+SUMPRODUCT((($C$69:$C$74=$H72)+($F$69:$F$74=$H72))*($D$69:$D$74&lt;&gt;"")*($E$69:$E$74&lt;&gt;"")*($D$69:$D$74=$E$69:$E$74))</f>
        <v/>
      </c>
      <c r="K72">
        <f>SUMPRODUCT(($C$69:$C$74=$H72)*($D$69:$D$74&lt;&gt;"")*($E$69:$E$74&lt;&gt;"")*$D$69:$D$74)+SUMPRODUCT(($F$69:$F$74=$H72)*($D$69:$D$74&lt;&gt;"")*($E$69:$E$74&lt;&gt;"")*$E$69:$E$74)</f>
        <v/>
      </c>
      <c r="L72">
        <f>SUMPRODUCT(($C$69:$C$74=$H72)*($D$69:$D$74&lt;&gt;"")*($E$69:$E$74&lt;&gt;"")*$E$69:$E$74)+SUMPRODUCT(($F$69:$F$74=$H72)*($D$69:$D$74&lt;&gt;"")*($E$69:$E$74&lt;&gt;"")*$D$69:$D$74)</f>
        <v/>
      </c>
      <c r="M72">
        <f>K72-L72</f>
        <v/>
      </c>
      <c r="N72">
        <f>J72*10000000+(M72+100)*10000+K72*10+(3-COUNTIF($H$69:$H$74,"&lt;"&amp;H72))</f>
        <v/>
      </c>
      <c r="O72">
        <f>RANK(N72,$N$69:$N$74)</f>
        <v/>
      </c>
    </row>
    <row r="73">
      <c r="A73" t="n">
        <v>63</v>
      </c>
      <c r="B73" t="inlineStr">
        <is>
          <t>2026-06-26</t>
        </is>
      </c>
      <c r="C73" t="inlineStr">
        <is>
          <t>Cabo Verde</t>
        </is>
      </c>
      <c r="D73" s="4" t="n"/>
      <c r="E73" s="4" t="n"/>
      <c r="F73" t="inlineStr">
        <is>
          <t>Arabia Saudita</t>
        </is>
      </c>
    </row>
    <row r="74">
      <c r="A74" t="n">
        <v>64</v>
      </c>
      <c r="B74" t="inlineStr">
        <is>
          <t>2026-06-26</t>
        </is>
      </c>
      <c r="C74" t="inlineStr">
        <is>
          <t>Uruguay</t>
        </is>
      </c>
      <c r="D74" s="4" t="n"/>
      <c r="E74" s="4" t="n"/>
      <c r="F74" t="inlineStr">
        <is>
          <t>España</t>
        </is>
      </c>
    </row>
    <row r="76">
      <c r="A76" s="2" t="inlineStr">
        <is>
          <t>GRUPO I</t>
        </is>
      </c>
    </row>
    <row r="77">
      <c r="A77" s="3" t="inlineStr">
        <is>
          <t>#</t>
        </is>
      </c>
      <c r="B77" s="3" t="inlineStr">
        <is>
          <t>Fecha</t>
        </is>
      </c>
      <c r="C77" s="3" t="inlineStr">
        <is>
          <t>Local</t>
        </is>
      </c>
      <c r="D77" s="3" t="inlineStr">
        <is>
          <t>GL</t>
        </is>
      </c>
      <c r="E77" s="3" t="inlineStr">
        <is>
          <t>GV</t>
        </is>
      </c>
      <c r="F77" s="3" t="inlineStr">
        <is>
          <t>Visitante</t>
        </is>
      </c>
      <c r="H77" s="3" t="inlineStr">
        <is>
          <t>Equipo</t>
        </is>
      </c>
      <c r="I77" s="3" t="inlineStr">
        <is>
          <t>PJ</t>
        </is>
      </c>
      <c r="J77" s="3" t="inlineStr">
        <is>
          <t>Pts</t>
        </is>
      </c>
      <c r="K77" s="3" t="inlineStr">
        <is>
          <t>GF</t>
        </is>
      </c>
      <c r="L77" s="3" t="inlineStr">
        <is>
          <t>GC</t>
        </is>
      </c>
      <c r="M77" s="3" t="inlineStr">
        <is>
          <t>Dif</t>
        </is>
      </c>
      <c r="N77" s="3" t="inlineStr">
        <is>
          <t>Score</t>
        </is>
      </c>
      <c r="O77" s="3" t="inlineStr">
        <is>
          <t>Pos</t>
        </is>
      </c>
    </row>
    <row r="78">
      <c r="A78" t="n">
        <v>17</v>
      </c>
      <c r="B78" t="inlineStr">
        <is>
          <t>2026-06-16</t>
        </is>
      </c>
      <c r="C78" t="inlineStr">
        <is>
          <t>Francia</t>
        </is>
      </c>
      <c r="D78" s="4" t="n"/>
      <c r="E78" s="4" t="n"/>
      <c r="F78" t="inlineStr">
        <is>
          <t>Senegal</t>
        </is>
      </c>
      <c r="H78" t="inlineStr">
        <is>
          <t>Francia</t>
        </is>
      </c>
      <c r="I78">
        <f>SUMPRODUCT(($C$78:$C$83=$H78)*($D$78:$D$83&lt;&gt;"")*($E$78:$E$83&lt;&gt;""))+SUMPRODUCT(($F$78:$F$83=$H78)*($D$78:$D$83&lt;&gt;"")*($E$78:$E$83&lt;&gt;""))</f>
        <v/>
      </c>
      <c r="J78">
        <f>SUMPRODUCT(($C$78:$C$83=$H78)*($D$78:$D$83&lt;&gt;"")*($E$78:$E$83&lt;&gt;"")*($D$78:$D$83&gt;$E$78:$E$83))*3+SUMPRODUCT(($F$78:$F$83=$H78)*($D$78:$D$83&lt;&gt;"")*($E$78:$E$83&lt;&gt;"")*($E$78:$E$83&gt;$D$78:$D$83))*3+SUMPRODUCT((($C$78:$C$83=$H78)+($F$78:$F$83=$H78))*($D$78:$D$83&lt;&gt;"")*($E$78:$E$83&lt;&gt;"")*($D$78:$D$83=$E$78:$E$83))</f>
        <v/>
      </c>
      <c r="K78">
        <f>SUMPRODUCT(($C$78:$C$83=$H78)*($D$78:$D$83&lt;&gt;"")*($E$78:$E$83&lt;&gt;"")*$D$78:$D$83)+SUMPRODUCT(($F$78:$F$83=$H78)*($D$78:$D$83&lt;&gt;"")*($E$78:$E$83&lt;&gt;"")*$E$78:$E$83)</f>
        <v/>
      </c>
      <c r="L78">
        <f>SUMPRODUCT(($C$78:$C$83=$H78)*($D$78:$D$83&lt;&gt;"")*($E$78:$E$83&lt;&gt;"")*$E$78:$E$83)+SUMPRODUCT(($F$78:$F$83=$H78)*($D$78:$D$83&lt;&gt;"")*($E$78:$E$83&lt;&gt;"")*$D$78:$D$83)</f>
        <v/>
      </c>
      <c r="M78">
        <f>K78-L78</f>
        <v/>
      </c>
      <c r="N78">
        <f>J78*10000000+(M78+100)*10000+K78*10+(3-COUNTIF($H$78:$H$83,"&lt;"&amp;H78))</f>
        <v/>
      </c>
      <c r="O78">
        <f>RANK(N78,$N$78:$N$83)</f>
        <v/>
      </c>
      <c r="Q78" t="inlineStr">
        <is>
          <t>1°:</t>
        </is>
      </c>
      <c r="R78">
        <f>INDEX($H$78:$H$83,MATCH(1,$O$78:$O$83,0))</f>
        <v/>
      </c>
    </row>
    <row r="79">
      <c r="A79" t="n">
        <v>18</v>
      </c>
      <c r="B79" t="inlineStr">
        <is>
          <t>2026-06-16</t>
        </is>
      </c>
      <c r="C79" t="inlineStr">
        <is>
          <t>Irak</t>
        </is>
      </c>
      <c r="D79" s="4" t="n"/>
      <c r="E79" s="4" t="n"/>
      <c r="F79" t="inlineStr">
        <is>
          <t>Noruega</t>
        </is>
      </c>
      <c r="H79" t="inlineStr">
        <is>
          <t>Senegal</t>
        </is>
      </c>
      <c r="I79">
        <f>SUMPRODUCT(($C$78:$C$83=$H79)*($D$78:$D$83&lt;&gt;"")*($E$78:$E$83&lt;&gt;""))+SUMPRODUCT(($F$78:$F$83=$H79)*($D$78:$D$83&lt;&gt;"")*($E$78:$E$83&lt;&gt;""))</f>
        <v/>
      </c>
      <c r="J79">
        <f>SUMPRODUCT(($C$78:$C$83=$H79)*($D$78:$D$83&lt;&gt;"")*($E$78:$E$83&lt;&gt;"")*($D$78:$D$83&gt;$E$78:$E$83))*3+SUMPRODUCT(($F$78:$F$83=$H79)*($D$78:$D$83&lt;&gt;"")*($E$78:$E$83&lt;&gt;"")*($E$78:$E$83&gt;$D$78:$D$83))*3+SUMPRODUCT((($C$78:$C$83=$H79)+($F$78:$F$83=$H79))*($D$78:$D$83&lt;&gt;"")*($E$78:$E$83&lt;&gt;"")*($D$78:$D$83=$E$78:$E$83))</f>
        <v/>
      </c>
      <c r="K79">
        <f>SUMPRODUCT(($C$78:$C$83=$H79)*($D$78:$D$83&lt;&gt;"")*($E$78:$E$83&lt;&gt;"")*$D$78:$D$83)+SUMPRODUCT(($F$78:$F$83=$H79)*($D$78:$D$83&lt;&gt;"")*($E$78:$E$83&lt;&gt;"")*$E$78:$E$83)</f>
        <v/>
      </c>
      <c r="L79">
        <f>SUMPRODUCT(($C$78:$C$83=$H79)*($D$78:$D$83&lt;&gt;"")*($E$78:$E$83&lt;&gt;"")*$E$78:$E$83)+SUMPRODUCT(($F$78:$F$83=$H79)*($D$78:$D$83&lt;&gt;"")*($E$78:$E$83&lt;&gt;"")*$D$78:$D$83)</f>
        <v/>
      </c>
      <c r="M79">
        <f>K79-L79</f>
        <v/>
      </c>
      <c r="N79">
        <f>J79*10000000+(M79+100)*10000+K79*10+(3-COUNTIF($H$78:$H$83,"&lt;"&amp;H79))</f>
        <v/>
      </c>
      <c r="O79">
        <f>RANK(N79,$N$78:$N$83)</f>
        <v/>
      </c>
      <c r="Q79" t="inlineStr">
        <is>
          <t>2°:</t>
        </is>
      </c>
      <c r="R79">
        <f>INDEX($H$78:$H$83,MATCH(2,$O$78:$O$83,0))</f>
        <v/>
      </c>
    </row>
    <row r="80">
      <c r="A80" t="n">
        <v>41</v>
      </c>
      <c r="B80" t="inlineStr">
        <is>
          <t>2026-06-22</t>
        </is>
      </c>
      <c r="C80" t="inlineStr">
        <is>
          <t>Francia</t>
        </is>
      </c>
      <c r="D80" s="4" t="n"/>
      <c r="E80" s="4" t="n"/>
      <c r="F80" t="inlineStr">
        <is>
          <t>Irak</t>
        </is>
      </c>
      <c r="H80" t="inlineStr">
        <is>
          <t>Irak</t>
        </is>
      </c>
      <c r="I80">
        <f>SUMPRODUCT(($C$78:$C$83=$H80)*($D$78:$D$83&lt;&gt;"")*($E$78:$E$83&lt;&gt;""))+SUMPRODUCT(($F$78:$F$83=$H80)*($D$78:$D$83&lt;&gt;"")*($E$78:$E$83&lt;&gt;""))</f>
        <v/>
      </c>
      <c r="J80">
        <f>SUMPRODUCT(($C$78:$C$83=$H80)*($D$78:$D$83&lt;&gt;"")*($E$78:$E$83&lt;&gt;"")*($D$78:$D$83&gt;$E$78:$E$83))*3+SUMPRODUCT(($F$78:$F$83=$H80)*($D$78:$D$83&lt;&gt;"")*($E$78:$E$83&lt;&gt;"")*($E$78:$E$83&gt;$D$78:$D$83))*3+SUMPRODUCT((($C$78:$C$83=$H80)+($F$78:$F$83=$H80))*($D$78:$D$83&lt;&gt;"")*($E$78:$E$83&lt;&gt;"")*($D$78:$D$83=$E$78:$E$83))</f>
        <v/>
      </c>
      <c r="K80">
        <f>SUMPRODUCT(($C$78:$C$83=$H80)*($D$78:$D$83&lt;&gt;"")*($E$78:$E$83&lt;&gt;"")*$D$78:$D$83)+SUMPRODUCT(($F$78:$F$83=$H80)*($D$78:$D$83&lt;&gt;"")*($E$78:$E$83&lt;&gt;"")*$E$78:$E$83)</f>
        <v/>
      </c>
      <c r="L80">
        <f>SUMPRODUCT(($C$78:$C$83=$H80)*($D$78:$D$83&lt;&gt;"")*($E$78:$E$83&lt;&gt;"")*$E$78:$E$83)+SUMPRODUCT(($F$78:$F$83=$H80)*($D$78:$D$83&lt;&gt;"")*($E$78:$E$83&lt;&gt;"")*$D$78:$D$83)</f>
        <v/>
      </c>
      <c r="M80">
        <f>K80-L80</f>
        <v/>
      </c>
      <c r="N80">
        <f>J80*10000000+(M80+100)*10000+K80*10+(3-COUNTIF($H$78:$H$83,"&lt;"&amp;H80))</f>
        <v/>
      </c>
      <c r="O80">
        <f>RANK(N80,$N$78:$N$83)</f>
        <v/>
      </c>
      <c r="Q80" t="inlineStr">
        <is>
          <t>3°:</t>
        </is>
      </c>
      <c r="R80">
        <f>INDEX($H$78:$H$83,MATCH(3,$O$78:$O$83,0))</f>
        <v/>
      </c>
    </row>
    <row r="81">
      <c r="A81" t="n">
        <v>42</v>
      </c>
      <c r="B81" t="inlineStr">
        <is>
          <t>2026-06-22</t>
        </is>
      </c>
      <c r="C81" t="inlineStr">
        <is>
          <t>Noruega</t>
        </is>
      </c>
      <c r="D81" s="4" t="n"/>
      <c r="E81" s="4" t="n"/>
      <c r="F81" t="inlineStr">
        <is>
          <t>Senegal</t>
        </is>
      </c>
      <c r="H81" t="inlineStr">
        <is>
          <t>Noruega</t>
        </is>
      </c>
      <c r="I81">
        <f>SUMPRODUCT(($C$78:$C$83=$H81)*($D$78:$D$83&lt;&gt;"")*($E$78:$E$83&lt;&gt;""))+SUMPRODUCT(($F$78:$F$83=$H81)*($D$78:$D$83&lt;&gt;"")*($E$78:$E$83&lt;&gt;""))</f>
        <v/>
      </c>
      <c r="J81">
        <f>SUMPRODUCT(($C$78:$C$83=$H81)*($D$78:$D$83&lt;&gt;"")*($E$78:$E$83&lt;&gt;"")*($D$78:$D$83&gt;$E$78:$E$83))*3+SUMPRODUCT(($F$78:$F$83=$H81)*($D$78:$D$83&lt;&gt;"")*($E$78:$E$83&lt;&gt;"")*($E$78:$E$83&gt;$D$78:$D$83))*3+SUMPRODUCT((($C$78:$C$83=$H81)+($F$78:$F$83=$H81))*($D$78:$D$83&lt;&gt;"")*($E$78:$E$83&lt;&gt;"")*($D$78:$D$83=$E$78:$E$83))</f>
        <v/>
      </c>
      <c r="K81">
        <f>SUMPRODUCT(($C$78:$C$83=$H81)*($D$78:$D$83&lt;&gt;"")*($E$78:$E$83&lt;&gt;"")*$D$78:$D$83)+SUMPRODUCT(($F$78:$F$83=$H81)*($D$78:$D$83&lt;&gt;"")*($E$78:$E$83&lt;&gt;"")*$E$78:$E$83)</f>
        <v/>
      </c>
      <c r="L81">
        <f>SUMPRODUCT(($C$78:$C$83=$H81)*($D$78:$D$83&lt;&gt;"")*($E$78:$E$83&lt;&gt;"")*$E$78:$E$83)+SUMPRODUCT(($F$78:$F$83=$H81)*($D$78:$D$83&lt;&gt;"")*($E$78:$E$83&lt;&gt;"")*$D$78:$D$83)</f>
        <v/>
      </c>
      <c r="M81">
        <f>K81-L81</f>
        <v/>
      </c>
      <c r="N81">
        <f>J81*10000000+(M81+100)*10000+K81*10+(3-COUNTIF($H$78:$H$83,"&lt;"&amp;H81))</f>
        <v/>
      </c>
      <c r="O81">
        <f>RANK(N81,$N$78:$N$83)</f>
        <v/>
      </c>
    </row>
    <row r="82">
      <c r="A82" t="n">
        <v>65</v>
      </c>
      <c r="B82" t="inlineStr">
        <is>
          <t>2026-06-26</t>
        </is>
      </c>
      <c r="C82" t="inlineStr">
        <is>
          <t>Noruega</t>
        </is>
      </c>
      <c r="D82" s="4" t="n"/>
      <c r="E82" s="4" t="n"/>
      <c r="F82" t="inlineStr">
        <is>
          <t>Francia</t>
        </is>
      </c>
    </row>
    <row r="83">
      <c r="A83" t="n">
        <v>66</v>
      </c>
      <c r="B83" t="inlineStr">
        <is>
          <t>2026-06-26</t>
        </is>
      </c>
      <c r="C83" t="inlineStr">
        <is>
          <t>Senegal</t>
        </is>
      </c>
      <c r="D83" s="4" t="n"/>
      <c r="E83" s="4" t="n"/>
      <c r="F83" t="inlineStr">
        <is>
          <t>Irak</t>
        </is>
      </c>
    </row>
    <row r="85">
      <c r="A85" s="2" t="inlineStr">
        <is>
          <t>GRUPO J</t>
        </is>
      </c>
    </row>
    <row r="86">
      <c r="A86" s="3" t="inlineStr">
        <is>
          <t>#</t>
        </is>
      </c>
      <c r="B86" s="3" t="inlineStr">
        <is>
          <t>Fecha</t>
        </is>
      </c>
      <c r="C86" s="3" t="inlineStr">
        <is>
          <t>Local</t>
        </is>
      </c>
      <c r="D86" s="3" t="inlineStr">
        <is>
          <t>GL</t>
        </is>
      </c>
      <c r="E86" s="3" t="inlineStr">
        <is>
          <t>GV</t>
        </is>
      </c>
      <c r="F86" s="3" t="inlineStr">
        <is>
          <t>Visitante</t>
        </is>
      </c>
      <c r="H86" s="3" t="inlineStr">
        <is>
          <t>Equipo</t>
        </is>
      </c>
      <c r="I86" s="3" t="inlineStr">
        <is>
          <t>PJ</t>
        </is>
      </c>
      <c r="J86" s="3" t="inlineStr">
        <is>
          <t>Pts</t>
        </is>
      </c>
      <c r="K86" s="3" t="inlineStr">
        <is>
          <t>GF</t>
        </is>
      </c>
      <c r="L86" s="3" t="inlineStr">
        <is>
          <t>GC</t>
        </is>
      </c>
      <c r="M86" s="3" t="inlineStr">
        <is>
          <t>Dif</t>
        </is>
      </c>
      <c r="N86" s="3" t="inlineStr">
        <is>
          <t>Score</t>
        </is>
      </c>
      <c r="O86" s="3" t="inlineStr">
        <is>
          <t>Pos</t>
        </is>
      </c>
    </row>
    <row r="87">
      <c r="A87" t="n">
        <v>19</v>
      </c>
      <c r="B87" t="inlineStr">
        <is>
          <t>2026-06-16</t>
        </is>
      </c>
      <c r="C87" t="inlineStr">
        <is>
          <t>Argentina</t>
        </is>
      </c>
      <c r="D87" s="4" t="n"/>
      <c r="E87" s="4" t="n"/>
      <c r="F87" t="inlineStr">
        <is>
          <t>Argelia</t>
        </is>
      </c>
      <c r="H87" t="inlineStr">
        <is>
          <t>Argentina</t>
        </is>
      </c>
      <c r="I87">
        <f>SUMPRODUCT(($C$87:$C$92=$H87)*($D$87:$D$92&lt;&gt;"")*($E$87:$E$92&lt;&gt;""))+SUMPRODUCT(($F$87:$F$92=$H87)*($D$87:$D$92&lt;&gt;"")*($E$87:$E$92&lt;&gt;""))</f>
        <v/>
      </c>
      <c r="J87">
        <f>SUMPRODUCT(($C$87:$C$92=$H87)*($D$87:$D$92&lt;&gt;"")*($E$87:$E$92&lt;&gt;"")*($D$87:$D$92&gt;$E$87:$E$92))*3+SUMPRODUCT(($F$87:$F$92=$H87)*($D$87:$D$92&lt;&gt;"")*($E$87:$E$92&lt;&gt;"")*($E$87:$E$92&gt;$D$87:$D$92))*3+SUMPRODUCT((($C$87:$C$92=$H87)+($F$87:$F$92=$H87))*($D$87:$D$92&lt;&gt;"")*($E$87:$E$92&lt;&gt;"")*($D$87:$D$92=$E$87:$E$92))</f>
        <v/>
      </c>
      <c r="K87">
        <f>SUMPRODUCT(($C$87:$C$92=$H87)*($D$87:$D$92&lt;&gt;"")*($E$87:$E$92&lt;&gt;"")*$D$87:$D$92)+SUMPRODUCT(($F$87:$F$92=$H87)*($D$87:$D$92&lt;&gt;"")*($E$87:$E$92&lt;&gt;"")*$E$87:$E$92)</f>
        <v/>
      </c>
      <c r="L87">
        <f>SUMPRODUCT(($C$87:$C$92=$H87)*($D$87:$D$92&lt;&gt;"")*($E$87:$E$92&lt;&gt;"")*$E$87:$E$92)+SUMPRODUCT(($F$87:$F$92=$H87)*($D$87:$D$92&lt;&gt;"")*($E$87:$E$92&lt;&gt;"")*$D$87:$D$92)</f>
        <v/>
      </c>
      <c r="M87">
        <f>K87-L87</f>
        <v/>
      </c>
      <c r="N87">
        <f>J87*10000000+(M87+100)*10000+K87*10+(3-COUNTIF($H$87:$H$92,"&lt;"&amp;H87))</f>
        <v/>
      </c>
      <c r="O87">
        <f>RANK(N87,$N$87:$N$92)</f>
        <v/>
      </c>
      <c r="Q87" t="inlineStr">
        <is>
          <t>1°:</t>
        </is>
      </c>
      <c r="R87">
        <f>INDEX($H$87:$H$92,MATCH(1,$O$87:$O$92,0))</f>
        <v/>
      </c>
    </row>
    <row r="88">
      <c r="A88" t="n">
        <v>20</v>
      </c>
      <c r="B88" t="inlineStr">
        <is>
          <t>2026-06-16</t>
        </is>
      </c>
      <c r="C88" t="inlineStr">
        <is>
          <t>Austria</t>
        </is>
      </c>
      <c r="D88" s="4" t="n"/>
      <c r="E88" s="4" t="n"/>
      <c r="F88" t="inlineStr">
        <is>
          <t>Jordania</t>
        </is>
      </c>
      <c r="H88" t="inlineStr">
        <is>
          <t>Argelia</t>
        </is>
      </c>
      <c r="I88">
        <f>SUMPRODUCT(($C$87:$C$92=$H88)*($D$87:$D$92&lt;&gt;"")*($E$87:$E$92&lt;&gt;""))+SUMPRODUCT(($F$87:$F$92=$H88)*($D$87:$D$92&lt;&gt;"")*($E$87:$E$92&lt;&gt;""))</f>
        <v/>
      </c>
      <c r="J88">
        <f>SUMPRODUCT(($C$87:$C$92=$H88)*($D$87:$D$92&lt;&gt;"")*($E$87:$E$92&lt;&gt;"")*($D$87:$D$92&gt;$E$87:$E$92))*3+SUMPRODUCT(($F$87:$F$92=$H88)*($D$87:$D$92&lt;&gt;"")*($E$87:$E$92&lt;&gt;"")*($E$87:$E$92&gt;$D$87:$D$92))*3+SUMPRODUCT((($C$87:$C$92=$H88)+($F$87:$F$92=$H88))*($D$87:$D$92&lt;&gt;"")*($E$87:$E$92&lt;&gt;"")*($D$87:$D$92=$E$87:$E$92))</f>
        <v/>
      </c>
      <c r="K88">
        <f>SUMPRODUCT(($C$87:$C$92=$H88)*($D$87:$D$92&lt;&gt;"")*($E$87:$E$92&lt;&gt;"")*$D$87:$D$92)+SUMPRODUCT(($F$87:$F$92=$H88)*($D$87:$D$92&lt;&gt;"")*($E$87:$E$92&lt;&gt;"")*$E$87:$E$92)</f>
        <v/>
      </c>
      <c r="L88">
        <f>SUMPRODUCT(($C$87:$C$92=$H88)*($D$87:$D$92&lt;&gt;"")*($E$87:$E$92&lt;&gt;"")*$E$87:$E$92)+SUMPRODUCT(($F$87:$F$92=$H88)*($D$87:$D$92&lt;&gt;"")*($E$87:$E$92&lt;&gt;"")*$D$87:$D$92)</f>
        <v/>
      </c>
      <c r="M88">
        <f>K88-L88</f>
        <v/>
      </c>
      <c r="N88">
        <f>J88*10000000+(M88+100)*10000+K88*10+(3-COUNTIF($H$87:$H$92,"&lt;"&amp;H88))</f>
        <v/>
      </c>
      <c r="O88">
        <f>RANK(N88,$N$87:$N$92)</f>
        <v/>
      </c>
      <c r="Q88" t="inlineStr">
        <is>
          <t>2°:</t>
        </is>
      </c>
      <c r="R88">
        <f>INDEX($H$87:$H$92,MATCH(2,$O$87:$O$92,0))</f>
        <v/>
      </c>
    </row>
    <row r="89">
      <c r="A89" t="n">
        <v>43</v>
      </c>
      <c r="B89" t="inlineStr">
        <is>
          <t>2026-06-22</t>
        </is>
      </c>
      <c r="C89" t="inlineStr">
        <is>
          <t>Argentina</t>
        </is>
      </c>
      <c r="D89" s="4" t="n"/>
      <c r="E89" s="4" t="n"/>
      <c r="F89" t="inlineStr">
        <is>
          <t>Austria</t>
        </is>
      </c>
      <c r="H89" t="inlineStr">
        <is>
          <t>Austria</t>
        </is>
      </c>
      <c r="I89">
        <f>SUMPRODUCT(($C$87:$C$92=$H89)*($D$87:$D$92&lt;&gt;"")*($E$87:$E$92&lt;&gt;""))+SUMPRODUCT(($F$87:$F$92=$H89)*($D$87:$D$92&lt;&gt;"")*($E$87:$E$92&lt;&gt;""))</f>
        <v/>
      </c>
      <c r="J89">
        <f>SUMPRODUCT(($C$87:$C$92=$H89)*($D$87:$D$92&lt;&gt;"")*($E$87:$E$92&lt;&gt;"")*($D$87:$D$92&gt;$E$87:$E$92))*3+SUMPRODUCT(($F$87:$F$92=$H89)*($D$87:$D$92&lt;&gt;"")*($E$87:$E$92&lt;&gt;"")*($E$87:$E$92&gt;$D$87:$D$92))*3+SUMPRODUCT((($C$87:$C$92=$H89)+($F$87:$F$92=$H89))*($D$87:$D$92&lt;&gt;"")*($E$87:$E$92&lt;&gt;"")*($D$87:$D$92=$E$87:$E$92))</f>
        <v/>
      </c>
      <c r="K89">
        <f>SUMPRODUCT(($C$87:$C$92=$H89)*($D$87:$D$92&lt;&gt;"")*($E$87:$E$92&lt;&gt;"")*$D$87:$D$92)+SUMPRODUCT(($F$87:$F$92=$H89)*($D$87:$D$92&lt;&gt;"")*($E$87:$E$92&lt;&gt;"")*$E$87:$E$92)</f>
        <v/>
      </c>
      <c r="L89">
        <f>SUMPRODUCT(($C$87:$C$92=$H89)*($D$87:$D$92&lt;&gt;"")*($E$87:$E$92&lt;&gt;"")*$E$87:$E$92)+SUMPRODUCT(($F$87:$F$92=$H89)*($D$87:$D$92&lt;&gt;"")*($E$87:$E$92&lt;&gt;"")*$D$87:$D$92)</f>
        <v/>
      </c>
      <c r="M89">
        <f>K89-L89</f>
        <v/>
      </c>
      <c r="N89">
        <f>J89*10000000+(M89+100)*10000+K89*10+(3-COUNTIF($H$87:$H$92,"&lt;"&amp;H89))</f>
        <v/>
      </c>
      <c r="O89">
        <f>RANK(N89,$N$87:$N$92)</f>
        <v/>
      </c>
      <c r="Q89" t="inlineStr">
        <is>
          <t>3°:</t>
        </is>
      </c>
      <c r="R89">
        <f>INDEX($H$87:$H$92,MATCH(3,$O$87:$O$92,0))</f>
        <v/>
      </c>
    </row>
    <row r="90">
      <c r="A90" t="n">
        <v>44</v>
      </c>
      <c r="B90" t="inlineStr">
        <is>
          <t>2026-06-22</t>
        </is>
      </c>
      <c r="C90" t="inlineStr">
        <is>
          <t>Jordania</t>
        </is>
      </c>
      <c r="D90" s="4" t="n"/>
      <c r="E90" s="4" t="n"/>
      <c r="F90" t="inlineStr">
        <is>
          <t>Argelia</t>
        </is>
      </c>
      <c r="H90" t="inlineStr">
        <is>
          <t>Jordania</t>
        </is>
      </c>
      <c r="I90">
        <f>SUMPRODUCT(($C$87:$C$92=$H90)*($D$87:$D$92&lt;&gt;"")*($E$87:$E$92&lt;&gt;""))+SUMPRODUCT(($F$87:$F$92=$H90)*($D$87:$D$92&lt;&gt;"")*($E$87:$E$92&lt;&gt;""))</f>
        <v/>
      </c>
      <c r="J90">
        <f>SUMPRODUCT(($C$87:$C$92=$H90)*($D$87:$D$92&lt;&gt;"")*($E$87:$E$92&lt;&gt;"")*($D$87:$D$92&gt;$E$87:$E$92))*3+SUMPRODUCT(($F$87:$F$92=$H90)*($D$87:$D$92&lt;&gt;"")*($E$87:$E$92&lt;&gt;"")*($E$87:$E$92&gt;$D$87:$D$92))*3+SUMPRODUCT((($C$87:$C$92=$H90)+($F$87:$F$92=$H90))*($D$87:$D$92&lt;&gt;"")*($E$87:$E$92&lt;&gt;"")*($D$87:$D$92=$E$87:$E$92))</f>
        <v/>
      </c>
      <c r="K90">
        <f>SUMPRODUCT(($C$87:$C$92=$H90)*($D$87:$D$92&lt;&gt;"")*($E$87:$E$92&lt;&gt;"")*$D$87:$D$92)+SUMPRODUCT(($F$87:$F$92=$H90)*($D$87:$D$92&lt;&gt;"")*($E$87:$E$92&lt;&gt;"")*$E$87:$E$92)</f>
        <v/>
      </c>
      <c r="L90">
        <f>SUMPRODUCT(($C$87:$C$92=$H90)*($D$87:$D$92&lt;&gt;"")*($E$87:$E$92&lt;&gt;"")*$E$87:$E$92)+SUMPRODUCT(($F$87:$F$92=$H90)*($D$87:$D$92&lt;&gt;"")*($E$87:$E$92&lt;&gt;"")*$D$87:$D$92)</f>
        <v/>
      </c>
      <c r="M90">
        <f>K90-L90</f>
        <v/>
      </c>
      <c r="N90">
        <f>J90*10000000+(M90+100)*10000+K90*10+(3-COUNTIF($H$87:$H$92,"&lt;"&amp;H90))</f>
        <v/>
      </c>
      <c r="O90">
        <f>RANK(N90,$N$87:$N$92)</f>
        <v/>
      </c>
    </row>
    <row r="91">
      <c r="A91" t="n">
        <v>67</v>
      </c>
      <c r="B91" t="inlineStr">
        <is>
          <t>2026-06-27</t>
        </is>
      </c>
      <c r="C91" t="inlineStr">
        <is>
          <t>Jordania</t>
        </is>
      </c>
      <c r="D91" s="4" t="n"/>
      <c r="E91" s="4" t="n"/>
      <c r="F91" t="inlineStr">
        <is>
          <t>Argentina</t>
        </is>
      </c>
    </row>
    <row r="92">
      <c r="A92" t="n">
        <v>68</v>
      </c>
      <c r="B92" t="inlineStr">
        <is>
          <t>2026-06-27</t>
        </is>
      </c>
      <c r="C92" t="inlineStr">
        <is>
          <t>Argelia</t>
        </is>
      </c>
      <c r="D92" s="4" t="n"/>
      <c r="E92" s="4" t="n"/>
      <c r="F92" t="inlineStr">
        <is>
          <t>Austria</t>
        </is>
      </c>
    </row>
    <row r="94">
      <c r="A94" s="2" t="inlineStr">
        <is>
          <t>GRUPO K</t>
        </is>
      </c>
    </row>
    <row r="95">
      <c r="A95" s="3" t="inlineStr">
        <is>
          <t>#</t>
        </is>
      </c>
      <c r="B95" s="3" t="inlineStr">
        <is>
          <t>Fecha</t>
        </is>
      </c>
      <c r="C95" s="3" t="inlineStr">
        <is>
          <t>Local</t>
        </is>
      </c>
      <c r="D95" s="3" t="inlineStr">
        <is>
          <t>GL</t>
        </is>
      </c>
      <c r="E95" s="3" t="inlineStr">
        <is>
          <t>GV</t>
        </is>
      </c>
      <c r="F95" s="3" t="inlineStr">
        <is>
          <t>Visitante</t>
        </is>
      </c>
      <c r="H95" s="3" t="inlineStr">
        <is>
          <t>Equipo</t>
        </is>
      </c>
      <c r="I95" s="3" t="inlineStr">
        <is>
          <t>PJ</t>
        </is>
      </c>
      <c r="J95" s="3" t="inlineStr">
        <is>
          <t>Pts</t>
        </is>
      </c>
      <c r="K95" s="3" t="inlineStr">
        <is>
          <t>GF</t>
        </is>
      </c>
      <c r="L95" s="3" t="inlineStr">
        <is>
          <t>GC</t>
        </is>
      </c>
      <c r="M95" s="3" t="inlineStr">
        <is>
          <t>Dif</t>
        </is>
      </c>
      <c r="N95" s="3" t="inlineStr">
        <is>
          <t>Score</t>
        </is>
      </c>
      <c r="O95" s="3" t="inlineStr">
        <is>
          <t>Pos</t>
        </is>
      </c>
    </row>
    <row r="96">
      <c r="A96" t="n">
        <v>21</v>
      </c>
      <c r="B96" t="inlineStr">
        <is>
          <t>2026-06-17</t>
        </is>
      </c>
      <c r="C96" t="inlineStr">
        <is>
          <t>Portugal</t>
        </is>
      </c>
      <c r="D96" s="4" t="n"/>
      <c r="E96" s="4" t="n"/>
      <c r="F96" t="inlineStr">
        <is>
          <t>RD Congo</t>
        </is>
      </c>
      <c r="H96" t="inlineStr">
        <is>
          <t>Portugal</t>
        </is>
      </c>
      <c r="I96">
        <f>SUMPRODUCT(($C$96:$C$101=$H96)*($D$96:$D$101&lt;&gt;"")*($E$96:$E$101&lt;&gt;""))+SUMPRODUCT(($F$96:$F$101=$H96)*($D$96:$D$101&lt;&gt;"")*($E$96:$E$101&lt;&gt;""))</f>
        <v/>
      </c>
      <c r="J96">
        <f>SUMPRODUCT(($C$96:$C$101=$H96)*($D$96:$D$101&lt;&gt;"")*($E$96:$E$101&lt;&gt;"")*($D$96:$D$101&gt;$E$96:$E$101))*3+SUMPRODUCT(($F$96:$F$101=$H96)*($D$96:$D$101&lt;&gt;"")*($E$96:$E$101&lt;&gt;"")*($E$96:$E$101&gt;$D$96:$D$101))*3+SUMPRODUCT((($C$96:$C$101=$H96)+($F$96:$F$101=$H96))*($D$96:$D$101&lt;&gt;"")*($E$96:$E$101&lt;&gt;"")*($D$96:$D$101=$E$96:$E$101))</f>
        <v/>
      </c>
      <c r="K96">
        <f>SUMPRODUCT(($C$96:$C$101=$H96)*($D$96:$D$101&lt;&gt;"")*($E$96:$E$101&lt;&gt;"")*$D$96:$D$101)+SUMPRODUCT(($F$96:$F$101=$H96)*($D$96:$D$101&lt;&gt;"")*($E$96:$E$101&lt;&gt;"")*$E$96:$E$101)</f>
        <v/>
      </c>
      <c r="L96">
        <f>SUMPRODUCT(($C$96:$C$101=$H96)*($D$96:$D$101&lt;&gt;"")*($E$96:$E$101&lt;&gt;"")*$E$96:$E$101)+SUMPRODUCT(($F$96:$F$101=$H96)*($D$96:$D$101&lt;&gt;"")*($E$96:$E$101&lt;&gt;"")*$D$96:$D$101)</f>
        <v/>
      </c>
      <c r="M96">
        <f>K96-L96</f>
        <v/>
      </c>
      <c r="N96">
        <f>J96*10000000+(M96+100)*10000+K96*10+(3-COUNTIF($H$96:$H$101,"&lt;"&amp;H96))</f>
        <v/>
      </c>
      <c r="O96">
        <f>RANK(N96,$N$96:$N$101)</f>
        <v/>
      </c>
      <c r="Q96" t="inlineStr">
        <is>
          <t>1°:</t>
        </is>
      </c>
      <c r="R96">
        <f>INDEX($H$96:$H$101,MATCH(1,$O$96:$O$101,0))</f>
        <v/>
      </c>
    </row>
    <row r="97">
      <c r="A97" t="n">
        <v>22</v>
      </c>
      <c r="B97" t="inlineStr">
        <is>
          <t>2026-06-17</t>
        </is>
      </c>
      <c r="C97" t="inlineStr">
        <is>
          <t>Uzbekistán</t>
        </is>
      </c>
      <c r="D97" s="4" t="n"/>
      <c r="E97" s="4" t="n"/>
      <c r="F97" t="inlineStr">
        <is>
          <t>Colombia</t>
        </is>
      </c>
      <c r="H97" t="inlineStr">
        <is>
          <t>RD Congo</t>
        </is>
      </c>
      <c r="I97">
        <f>SUMPRODUCT(($C$96:$C$101=$H97)*($D$96:$D$101&lt;&gt;"")*($E$96:$E$101&lt;&gt;""))+SUMPRODUCT(($F$96:$F$101=$H97)*($D$96:$D$101&lt;&gt;"")*($E$96:$E$101&lt;&gt;""))</f>
        <v/>
      </c>
      <c r="J97">
        <f>SUMPRODUCT(($C$96:$C$101=$H97)*($D$96:$D$101&lt;&gt;"")*($E$96:$E$101&lt;&gt;"")*($D$96:$D$101&gt;$E$96:$E$101))*3+SUMPRODUCT(($F$96:$F$101=$H97)*($D$96:$D$101&lt;&gt;"")*($E$96:$E$101&lt;&gt;"")*($E$96:$E$101&gt;$D$96:$D$101))*3+SUMPRODUCT((($C$96:$C$101=$H97)+($F$96:$F$101=$H97))*($D$96:$D$101&lt;&gt;"")*($E$96:$E$101&lt;&gt;"")*($D$96:$D$101=$E$96:$E$101))</f>
        <v/>
      </c>
      <c r="K97">
        <f>SUMPRODUCT(($C$96:$C$101=$H97)*($D$96:$D$101&lt;&gt;"")*($E$96:$E$101&lt;&gt;"")*$D$96:$D$101)+SUMPRODUCT(($F$96:$F$101=$H97)*($D$96:$D$101&lt;&gt;"")*($E$96:$E$101&lt;&gt;"")*$E$96:$E$101)</f>
        <v/>
      </c>
      <c r="L97">
        <f>SUMPRODUCT(($C$96:$C$101=$H97)*($D$96:$D$101&lt;&gt;"")*($E$96:$E$101&lt;&gt;"")*$E$96:$E$101)+SUMPRODUCT(($F$96:$F$101=$H97)*($D$96:$D$101&lt;&gt;"")*($E$96:$E$101&lt;&gt;"")*$D$96:$D$101)</f>
        <v/>
      </c>
      <c r="M97">
        <f>K97-L97</f>
        <v/>
      </c>
      <c r="N97">
        <f>J97*10000000+(M97+100)*10000+K97*10+(3-COUNTIF($H$96:$H$101,"&lt;"&amp;H97))</f>
        <v/>
      </c>
      <c r="O97">
        <f>RANK(N97,$N$96:$N$101)</f>
        <v/>
      </c>
      <c r="Q97" t="inlineStr">
        <is>
          <t>2°:</t>
        </is>
      </c>
      <c r="R97">
        <f>INDEX($H$96:$H$101,MATCH(2,$O$96:$O$101,0))</f>
        <v/>
      </c>
    </row>
    <row r="98">
      <c r="A98" t="n">
        <v>45</v>
      </c>
      <c r="B98" t="inlineStr">
        <is>
          <t>2026-06-23</t>
        </is>
      </c>
      <c r="C98" t="inlineStr">
        <is>
          <t>Portugal</t>
        </is>
      </c>
      <c r="D98" s="4" t="n"/>
      <c r="E98" s="4" t="n"/>
      <c r="F98" t="inlineStr">
        <is>
          <t>Uzbekistán</t>
        </is>
      </c>
      <c r="H98" t="inlineStr">
        <is>
          <t>Uzbekistán</t>
        </is>
      </c>
      <c r="I98">
        <f>SUMPRODUCT(($C$96:$C$101=$H98)*($D$96:$D$101&lt;&gt;"")*($E$96:$E$101&lt;&gt;""))+SUMPRODUCT(($F$96:$F$101=$H98)*($D$96:$D$101&lt;&gt;"")*($E$96:$E$101&lt;&gt;""))</f>
        <v/>
      </c>
      <c r="J98">
        <f>SUMPRODUCT(($C$96:$C$101=$H98)*($D$96:$D$101&lt;&gt;"")*($E$96:$E$101&lt;&gt;"")*($D$96:$D$101&gt;$E$96:$E$101))*3+SUMPRODUCT(($F$96:$F$101=$H98)*($D$96:$D$101&lt;&gt;"")*($E$96:$E$101&lt;&gt;"")*($E$96:$E$101&gt;$D$96:$D$101))*3+SUMPRODUCT((($C$96:$C$101=$H98)+($F$96:$F$101=$H98))*($D$96:$D$101&lt;&gt;"")*($E$96:$E$101&lt;&gt;"")*($D$96:$D$101=$E$96:$E$101))</f>
        <v/>
      </c>
      <c r="K98">
        <f>SUMPRODUCT(($C$96:$C$101=$H98)*($D$96:$D$101&lt;&gt;"")*($E$96:$E$101&lt;&gt;"")*$D$96:$D$101)+SUMPRODUCT(($F$96:$F$101=$H98)*($D$96:$D$101&lt;&gt;"")*($E$96:$E$101&lt;&gt;"")*$E$96:$E$101)</f>
        <v/>
      </c>
      <c r="L98">
        <f>SUMPRODUCT(($C$96:$C$101=$H98)*($D$96:$D$101&lt;&gt;"")*($E$96:$E$101&lt;&gt;"")*$E$96:$E$101)+SUMPRODUCT(($F$96:$F$101=$H98)*($D$96:$D$101&lt;&gt;"")*($E$96:$E$101&lt;&gt;"")*$D$96:$D$101)</f>
        <v/>
      </c>
      <c r="M98">
        <f>K98-L98</f>
        <v/>
      </c>
      <c r="N98">
        <f>J98*10000000+(M98+100)*10000+K98*10+(3-COUNTIF($H$96:$H$101,"&lt;"&amp;H98))</f>
        <v/>
      </c>
      <c r="O98">
        <f>RANK(N98,$N$96:$N$101)</f>
        <v/>
      </c>
      <c r="Q98" t="inlineStr">
        <is>
          <t>3°:</t>
        </is>
      </c>
      <c r="R98">
        <f>INDEX($H$96:$H$101,MATCH(3,$O$96:$O$101,0))</f>
        <v/>
      </c>
    </row>
    <row r="99">
      <c r="A99" t="n">
        <v>46</v>
      </c>
      <c r="B99" t="inlineStr">
        <is>
          <t>2026-06-23</t>
        </is>
      </c>
      <c r="C99" t="inlineStr">
        <is>
          <t>Colombia</t>
        </is>
      </c>
      <c r="D99" s="4" t="n"/>
      <c r="E99" s="4" t="n"/>
      <c r="F99" t="inlineStr">
        <is>
          <t>RD Congo</t>
        </is>
      </c>
      <c r="H99" t="inlineStr">
        <is>
          <t>Colombia</t>
        </is>
      </c>
      <c r="I99">
        <f>SUMPRODUCT(($C$96:$C$101=$H99)*($D$96:$D$101&lt;&gt;"")*($E$96:$E$101&lt;&gt;""))+SUMPRODUCT(($F$96:$F$101=$H99)*($D$96:$D$101&lt;&gt;"")*($E$96:$E$101&lt;&gt;""))</f>
        <v/>
      </c>
      <c r="J99">
        <f>SUMPRODUCT(($C$96:$C$101=$H99)*($D$96:$D$101&lt;&gt;"")*($E$96:$E$101&lt;&gt;"")*($D$96:$D$101&gt;$E$96:$E$101))*3+SUMPRODUCT(($F$96:$F$101=$H99)*($D$96:$D$101&lt;&gt;"")*($E$96:$E$101&lt;&gt;"")*($E$96:$E$101&gt;$D$96:$D$101))*3+SUMPRODUCT((($C$96:$C$101=$H99)+($F$96:$F$101=$H99))*($D$96:$D$101&lt;&gt;"")*($E$96:$E$101&lt;&gt;"")*($D$96:$D$101=$E$96:$E$101))</f>
        <v/>
      </c>
      <c r="K99">
        <f>SUMPRODUCT(($C$96:$C$101=$H99)*($D$96:$D$101&lt;&gt;"")*($E$96:$E$101&lt;&gt;"")*$D$96:$D$101)+SUMPRODUCT(($F$96:$F$101=$H99)*($D$96:$D$101&lt;&gt;"")*($E$96:$E$101&lt;&gt;"")*$E$96:$E$101)</f>
        <v/>
      </c>
      <c r="L99">
        <f>SUMPRODUCT(($C$96:$C$101=$H99)*($D$96:$D$101&lt;&gt;"")*($E$96:$E$101&lt;&gt;"")*$E$96:$E$101)+SUMPRODUCT(($F$96:$F$101=$H99)*($D$96:$D$101&lt;&gt;"")*($E$96:$E$101&lt;&gt;"")*$D$96:$D$101)</f>
        <v/>
      </c>
      <c r="M99">
        <f>K99-L99</f>
        <v/>
      </c>
      <c r="N99">
        <f>J99*10000000+(M99+100)*10000+K99*10+(3-COUNTIF($H$96:$H$101,"&lt;"&amp;H99))</f>
        <v/>
      </c>
      <c r="O99">
        <f>RANK(N99,$N$96:$N$101)</f>
        <v/>
      </c>
    </row>
    <row r="100">
      <c r="A100" t="n">
        <v>69</v>
      </c>
      <c r="B100" t="inlineStr">
        <is>
          <t>2026-06-27</t>
        </is>
      </c>
      <c r="C100" t="inlineStr">
        <is>
          <t>Colombia</t>
        </is>
      </c>
      <c r="D100" s="4" t="n"/>
      <c r="E100" s="4" t="n"/>
      <c r="F100" t="inlineStr">
        <is>
          <t>Portugal</t>
        </is>
      </c>
    </row>
    <row r="101">
      <c r="A101" t="n">
        <v>70</v>
      </c>
      <c r="B101" t="inlineStr">
        <is>
          <t>2026-06-27</t>
        </is>
      </c>
      <c r="C101" t="inlineStr">
        <is>
          <t>RD Congo</t>
        </is>
      </c>
      <c r="D101" s="4" t="n"/>
      <c r="E101" s="4" t="n"/>
      <c r="F101" t="inlineStr">
        <is>
          <t>Uzbekistán</t>
        </is>
      </c>
    </row>
    <row r="103">
      <c r="A103" s="2" t="inlineStr">
        <is>
          <t>GRUPO L</t>
        </is>
      </c>
    </row>
    <row r="104">
      <c r="A104" s="3" t="inlineStr">
        <is>
          <t>#</t>
        </is>
      </c>
      <c r="B104" s="3" t="inlineStr">
        <is>
          <t>Fecha</t>
        </is>
      </c>
      <c r="C104" s="3" t="inlineStr">
        <is>
          <t>Local</t>
        </is>
      </c>
      <c r="D104" s="3" t="inlineStr">
        <is>
          <t>GL</t>
        </is>
      </c>
      <c r="E104" s="3" t="inlineStr">
        <is>
          <t>GV</t>
        </is>
      </c>
      <c r="F104" s="3" t="inlineStr">
        <is>
          <t>Visitante</t>
        </is>
      </c>
      <c r="H104" s="3" t="inlineStr">
        <is>
          <t>Equipo</t>
        </is>
      </c>
      <c r="I104" s="3" t="inlineStr">
        <is>
          <t>PJ</t>
        </is>
      </c>
      <c r="J104" s="3" t="inlineStr">
        <is>
          <t>Pts</t>
        </is>
      </c>
      <c r="K104" s="3" t="inlineStr">
        <is>
          <t>GF</t>
        </is>
      </c>
      <c r="L104" s="3" t="inlineStr">
        <is>
          <t>GC</t>
        </is>
      </c>
      <c r="M104" s="3" t="inlineStr">
        <is>
          <t>Dif</t>
        </is>
      </c>
      <c r="N104" s="3" t="inlineStr">
        <is>
          <t>Score</t>
        </is>
      </c>
      <c r="O104" s="3" t="inlineStr">
        <is>
          <t>Pos</t>
        </is>
      </c>
    </row>
    <row r="105">
      <c r="A105" t="n">
        <v>23</v>
      </c>
      <c r="B105" t="inlineStr">
        <is>
          <t>2026-06-17</t>
        </is>
      </c>
      <c r="C105" t="inlineStr">
        <is>
          <t>Inglaterra</t>
        </is>
      </c>
      <c r="D105" s="4" t="n"/>
      <c r="E105" s="4" t="n"/>
      <c r="F105" t="inlineStr">
        <is>
          <t>Croacia</t>
        </is>
      </c>
      <c r="H105" t="inlineStr">
        <is>
          <t>Inglaterra</t>
        </is>
      </c>
      <c r="I105">
        <f>SUMPRODUCT(($C$105:$C$110=$H105)*($D$105:$D$110&lt;&gt;"")*($E$105:$E$110&lt;&gt;""))+SUMPRODUCT(($F$105:$F$110=$H105)*($D$105:$D$110&lt;&gt;"")*($E$105:$E$110&lt;&gt;""))</f>
        <v/>
      </c>
      <c r="J105">
        <f>SUMPRODUCT(($C$105:$C$110=$H105)*($D$105:$D$110&lt;&gt;"")*($E$105:$E$110&lt;&gt;"")*($D$105:$D$110&gt;$E$105:$E$110))*3+SUMPRODUCT(($F$105:$F$110=$H105)*($D$105:$D$110&lt;&gt;"")*($E$105:$E$110&lt;&gt;"")*($E$105:$E$110&gt;$D$105:$D$110))*3+SUMPRODUCT((($C$105:$C$110=$H105)+($F$105:$F$110=$H105))*($D$105:$D$110&lt;&gt;"")*($E$105:$E$110&lt;&gt;"")*($D$105:$D$110=$E$105:$E$110))</f>
        <v/>
      </c>
      <c r="K105">
        <f>SUMPRODUCT(($C$105:$C$110=$H105)*($D$105:$D$110&lt;&gt;"")*($E$105:$E$110&lt;&gt;"")*$D$105:$D$110)+SUMPRODUCT(($F$105:$F$110=$H105)*($D$105:$D$110&lt;&gt;"")*($E$105:$E$110&lt;&gt;"")*$E$105:$E$110)</f>
        <v/>
      </c>
      <c r="L105">
        <f>SUMPRODUCT(($C$105:$C$110=$H105)*($D$105:$D$110&lt;&gt;"")*($E$105:$E$110&lt;&gt;"")*$E$105:$E$110)+SUMPRODUCT(($F$105:$F$110=$H105)*($D$105:$D$110&lt;&gt;"")*($E$105:$E$110&lt;&gt;"")*$D$105:$D$110)</f>
        <v/>
      </c>
      <c r="M105">
        <f>K105-L105</f>
        <v/>
      </c>
      <c r="N105">
        <f>J105*10000000+(M105+100)*10000+K105*10+(3-COUNTIF($H$105:$H$110,"&lt;"&amp;H105))</f>
        <v/>
      </c>
      <c r="O105">
        <f>RANK(N105,$N$105:$N$110)</f>
        <v/>
      </c>
      <c r="Q105" t="inlineStr">
        <is>
          <t>1°:</t>
        </is>
      </c>
      <c r="R105">
        <f>INDEX($H$105:$H$110,MATCH(1,$O$105:$O$110,0))</f>
        <v/>
      </c>
    </row>
    <row r="106">
      <c r="A106" t="n">
        <v>24</v>
      </c>
      <c r="B106" t="inlineStr">
        <is>
          <t>2026-06-17</t>
        </is>
      </c>
      <c r="C106" t="inlineStr">
        <is>
          <t>Ghana</t>
        </is>
      </c>
      <c r="D106" s="4" t="n"/>
      <c r="E106" s="4" t="n"/>
      <c r="F106" t="inlineStr">
        <is>
          <t>Panamá</t>
        </is>
      </c>
      <c r="H106" t="inlineStr">
        <is>
          <t>Croacia</t>
        </is>
      </c>
      <c r="I106">
        <f>SUMPRODUCT(($C$105:$C$110=$H106)*($D$105:$D$110&lt;&gt;"")*($E$105:$E$110&lt;&gt;""))+SUMPRODUCT(($F$105:$F$110=$H106)*($D$105:$D$110&lt;&gt;"")*($E$105:$E$110&lt;&gt;""))</f>
        <v/>
      </c>
      <c r="J106">
        <f>SUMPRODUCT(($C$105:$C$110=$H106)*($D$105:$D$110&lt;&gt;"")*($E$105:$E$110&lt;&gt;"")*($D$105:$D$110&gt;$E$105:$E$110))*3+SUMPRODUCT(($F$105:$F$110=$H106)*($D$105:$D$110&lt;&gt;"")*($E$105:$E$110&lt;&gt;"")*($E$105:$E$110&gt;$D$105:$D$110))*3+SUMPRODUCT((($C$105:$C$110=$H106)+($F$105:$F$110=$H106))*($D$105:$D$110&lt;&gt;"")*($E$105:$E$110&lt;&gt;"")*($D$105:$D$110=$E$105:$E$110))</f>
        <v/>
      </c>
      <c r="K106">
        <f>SUMPRODUCT(($C$105:$C$110=$H106)*($D$105:$D$110&lt;&gt;"")*($E$105:$E$110&lt;&gt;"")*$D$105:$D$110)+SUMPRODUCT(($F$105:$F$110=$H106)*($D$105:$D$110&lt;&gt;"")*($E$105:$E$110&lt;&gt;"")*$E$105:$E$110)</f>
        <v/>
      </c>
      <c r="L106">
        <f>SUMPRODUCT(($C$105:$C$110=$H106)*($D$105:$D$110&lt;&gt;"")*($E$105:$E$110&lt;&gt;"")*$E$105:$E$110)+SUMPRODUCT(($F$105:$F$110=$H106)*($D$105:$D$110&lt;&gt;"")*($E$105:$E$110&lt;&gt;"")*$D$105:$D$110)</f>
        <v/>
      </c>
      <c r="M106">
        <f>K106-L106</f>
        <v/>
      </c>
      <c r="N106">
        <f>J106*10000000+(M106+100)*10000+K106*10+(3-COUNTIF($H$105:$H$110,"&lt;"&amp;H106))</f>
        <v/>
      </c>
      <c r="O106">
        <f>RANK(N106,$N$105:$N$110)</f>
        <v/>
      </c>
      <c r="Q106" t="inlineStr">
        <is>
          <t>2°:</t>
        </is>
      </c>
      <c r="R106">
        <f>INDEX($H$105:$H$110,MATCH(2,$O$105:$O$110,0))</f>
        <v/>
      </c>
    </row>
    <row r="107">
      <c r="A107" t="n">
        <v>47</v>
      </c>
      <c r="B107" t="inlineStr">
        <is>
          <t>2026-06-23</t>
        </is>
      </c>
      <c r="C107" t="inlineStr">
        <is>
          <t>Inglaterra</t>
        </is>
      </c>
      <c r="D107" s="4" t="n"/>
      <c r="E107" s="4" t="n"/>
      <c r="F107" t="inlineStr">
        <is>
          <t>Ghana</t>
        </is>
      </c>
      <c r="H107" t="inlineStr">
        <is>
          <t>Ghana</t>
        </is>
      </c>
      <c r="I107">
        <f>SUMPRODUCT(($C$105:$C$110=$H107)*($D$105:$D$110&lt;&gt;"")*($E$105:$E$110&lt;&gt;""))+SUMPRODUCT(($F$105:$F$110=$H107)*($D$105:$D$110&lt;&gt;"")*($E$105:$E$110&lt;&gt;""))</f>
        <v/>
      </c>
      <c r="J107">
        <f>SUMPRODUCT(($C$105:$C$110=$H107)*($D$105:$D$110&lt;&gt;"")*($E$105:$E$110&lt;&gt;"")*($D$105:$D$110&gt;$E$105:$E$110))*3+SUMPRODUCT(($F$105:$F$110=$H107)*($D$105:$D$110&lt;&gt;"")*($E$105:$E$110&lt;&gt;"")*($E$105:$E$110&gt;$D$105:$D$110))*3+SUMPRODUCT((($C$105:$C$110=$H107)+($F$105:$F$110=$H107))*($D$105:$D$110&lt;&gt;"")*($E$105:$E$110&lt;&gt;"")*($D$105:$D$110=$E$105:$E$110))</f>
        <v/>
      </c>
      <c r="K107">
        <f>SUMPRODUCT(($C$105:$C$110=$H107)*($D$105:$D$110&lt;&gt;"")*($E$105:$E$110&lt;&gt;"")*$D$105:$D$110)+SUMPRODUCT(($F$105:$F$110=$H107)*($D$105:$D$110&lt;&gt;"")*($E$105:$E$110&lt;&gt;"")*$E$105:$E$110)</f>
        <v/>
      </c>
      <c r="L107">
        <f>SUMPRODUCT(($C$105:$C$110=$H107)*($D$105:$D$110&lt;&gt;"")*($E$105:$E$110&lt;&gt;"")*$E$105:$E$110)+SUMPRODUCT(($F$105:$F$110=$H107)*($D$105:$D$110&lt;&gt;"")*($E$105:$E$110&lt;&gt;"")*$D$105:$D$110)</f>
        <v/>
      </c>
      <c r="M107">
        <f>K107-L107</f>
        <v/>
      </c>
      <c r="N107">
        <f>J107*10000000+(M107+100)*10000+K107*10+(3-COUNTIF($H$105:$H$110,"&lt;"&amp;H107))</f>
        <v/>
      </c>
      <c r="O107">
        <f>RANK(N107,$N$105:$N$110)</f>
        <v/>
      </c>
      <c r="Q107" t="inlineStr">
        <is>
          <t>3°:</t>
        </is>
      </c>
      <c r="R107">
        <f>INDEX($H$105:$H$110,MATCH(3,$O$105:$O$110,0))</f>
        <v/>
      </c>
    </row>
    <row r="108">
      <c r="A108" t="n">
        <v>48</v>
      </c>
      <c r="B108" t="inlineStr">
        <is>
          <t>2026-06-23</t>
        </is>
      </c>
      <c r="C108" t="inlineStr">
        <is>
          <t>Panamá</t>
        </is>
      </c>
      <c r="D108" s="4" t="n"/>
      <c r="E108" s="4" t="n"/>
      <c r="F108" t="inlineStr">
        <is>
          <t>Croacia</t>
        </is>
      </c>
      <c r="H108" t="inlineStr">
        <is>
          <t>Panamá</t>
        </is>
      </c>
      <c r="I108">
        <f>SUMPRODUCT(($C$105:$C$110=$H108)*($D$105:$D$110&lt;&gt;"")*($E$105:$E$110&lt;&gt;""))+SUMPRODUCT(($F$105:$F$110=$H108)*($D$105:$D$110&lt;&gt;"")*($E$105:$E$110&lt;&gt;""))</f>
        <v/>
      </c>
      <c r="J108">
        <f>SUMPRODUCT(($C$105:$C$110=$H108)*($D$105:$D$110&lt;&gt;"")*($E$105:$E$110&lt;&gt;"")*($D$105:$D$110&gt;$E$105:$E$110))*3+SUMPRODUCT(($F$105:$F$110=$H108)*($D$105:$D$110&lt;&gt;"")*($E$105:$E$110&lt;&gt;"")*($E$105:$E$110&gt;$D$105:$D$110))*3+SUMPRODUCT((($C$105:$C$110=$H108)+($F$105:$F$110=$H108))*($D$105:$D$110&lt;&gt;"")*($E$105:$E$110&lt;&gt;"")*($D$105:$D$110=$E$105:$E$110))</f>
        <v/>
      </c>
      <c r="K108">
        <f>SUMPRODUCT(($C$105:$C$110=$H108)*($D$105:$D$110&lt;&gt;"")*($E$105:$E$110&lt;&gt;"")*$D$105:$D$110)+SUMPRODUCT(($F$105:$F$110=$H108)*($D$105:$D$110&lt;&gt;"")*($E$105:$E$110&lt;&gt;"")*$E$105:$E$110)</f>
        <v/>
      </c>
      <c r="L108">
        <f>SUMPRODUCT(($C$105:$C$110=$H108)*($D$105:$D$110&lt;&gt;"")*($E$105:$E$110&lt;&gt;"")*$E$105:$E$110)+SUMPRODUCT(($F$105:$F$110=$H108)*($D$105:$D$110&lt;&gt;"")*($E$105:$E$110&lt;&gt;"")*$D$105:$D$110)</f>
        <v/>
      </c>
      <c r="M108">
        <f>K108-L108</f>
        <v/>
      </c>
      <c r="N108">
        <f>J108*10000000+(M108+100)*10000+K108*10+(3-COUNTIF($H$105:$H$110,"&lt;"&amp;H108))</f>
        <v/>
      </c>
      <c r="O108">
        <f>RANK(N108,$N$105:$N$110)</f>
        <v/>
      </c>
    </row>
    <row r="109">
      <c r="A109" t="n">
        <v>71</v>
      </c>
      <c r="B109" t="inlineStr">
        <is>
          <t>2026-06-27</t>
        </is>
      </c>
      <c r="C109" t="inlineStr">
        <is>
          <t>Panamá</t>
        </is>
      </c>
      <c r="D109" s="4" t="n"/>
      <c r="E109" s="4" t="n"/>
      <c r="F109" t="inlineStr">
        <is>
          <t>Inglaterra</t>
        </is>
      </c>
    </row>
    <row r="110">
      <c r="A110" t="n">
        <v>72</v>
      </c>
      <c r="B110" t="inlineStr">
        <is>
          <t>2026-06-27</t>
        </is>
      </c>
      <c r="C110" t="inlineStr">
        <is>
          <t>Croacia</t>
        </is>
      </c>
      <c r="D110" s="4" t="n"/>
      <c r="E110" s="4" t="n"/>
      <c r="F110" t="inlineStr">
        <is>
          <t>Ghana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5" customWidth="1" min="3" max="3"/>
    <col width="6" customWidth="1" min="4" max="4"/>
    <col width="5" customWidth="1" min="5" max="5"/>
    <col width="13" customWidth="1" min="6" max="6"/>
    <col width="6" customWidth="1" min="7" max="7"/>
    <col width="9" customWidth="1" min="8" max="8"/>
  </cols>
  <sheetData>
    <row r="1">
      <c r="A1" s="5" t="inlineStr">
        <is>
          <t>RANKING DE TERCEROS LUGARES (auto-calculado; los 8 primeros avanzan)</t>
        </is>
      </c>
    </row>
    <row r="3">
      <c r="A3" s="6" t="inlineStr">
        <is>
          <t>Grupo</t>
        </is>
      </c>
      <c r="B3" s="6" t="inlineStr">
        <is>
          <t>Equipo</t>
        </is>
      </c>
      <c r="C3" s="6" t="inlineStr">
        <is>
          <t>Pts</t>
        </is>
      </c>
      <c r="D3" s="6" t="inlineStr">
        <is>
          <t>Dif</t>
        </is>
      </c>
      <c r="E3" s="6" t="inlineStr">
        <is>
          <t>GF</t>
        </is>
      </c>
      <c r="F3" s="6" t="inlineStr">
        <is>
          <t>Score</t>
        </is>
      </c>
      <c r="G3" s="6" t="inlineStr">
        <is>
          <t>Rank</t>
        </is>
      </c>
      <c r="H3" s="6" t="inlineStr">
        <is>
          <t>¿Avanza?</t>
        </is>
      </c>
    </row>
    <row r="4">
      <c r="A4" t="inlineStr">
        <is>
          <t>A</t>
        </is>
      </c>
      <c r="B4">
        <f>INDEX(Grupos!$H$6:$H$11,MATCH(3,Grupos!$O$6:$O$11,0))</f>
        <v/>
      </c>
      <c r="C4">
        <f>INDEX(Grupos!$J$6:$J$11,MATCH(3,Grupos!$O$6:$O$11,0))</f>
        <v/>
      </c>
      <c r="D4">
        <f>INDEX(Grupos!$M$6:$M$11,MATCH(3,Grupos!$O$6:$O$11,0))</f>
        <v/>
      </c>
      <c r="E4">
        <f>INDEX(Grupos!$K$6:$K$11,MATCH(3,Grupos!$O$6:$O$11,0))</f>
        <v/>
      </c>
      <c r="F4">
        <f>C4*10000000+(D4+100)*10000+E4*10+(11-COUNTIF($B$4:$B$15,"&lt;"&amp;B4))</f>
        <v/>
      </c>
      <c r="G4">
        <f>RANK(F4,$F$4:$F$15)</f>
        <v/>
      </c>
      <c r="H4">
        <f>IF(G4&lt;=8,"SÍ","no")</f>
        <v/>
      </c>
    </row>
    <row r="5">
      <c r="A5" t="inlineStr">
        <is>
          <t>B</t>
        </is>
      </c>
      <c r="B5">
        <f>INDEX(Grupos!$H$15:$H$20,MATCH(3,Grupos!$O$15:$O$20,0))</f>
        <v/>
      </c>
      <c r="C5">
        <f>INDEX(Grupos!$J$15:$J$20,MATCH(3,Grupos!$O$15:$O$20,0))</f>
        <v/>
      </c>
      <c r="D5">
        <f>INDEX(Grupos!$M$15:$M$20,MATCH(3,Grupos!$O$15:$O$20,0))</f>
        <v/>
      </c>
      <c r="E5">
        <f>INDEX(Grupos!$K$15:$K$20,MATCH(3,Grupos!$O$15:$O$20,0))</f>
        <v/>
      </c>
      <c r="F5">
        <f>C5*10000000+(D5+100)*10000+E5*10+(11-COUNTIF($B$4:$B$15,"&lt;"&amp;B5))</f>
        <v/>
      </c>
      <c r="G5">
        <f>RANK(F5,$F$4:$F$15)</f>
        <v/>
      </c>
      <c r="H5">
        <f>IF(G5&lt;=8,"SÍ","no")</f>
        <v/>
      </c>
    </row>
    <row r="6">
      <c r="A6" t="inlineStr">
        <is>
          <t>C</t>
        </is>
      </c>
      <c r="B6">
        <f>INDEX(Grupos!$H$24:$H$29,MATCH(3,Grupos!$O$24:$O$29,0))</f>
        <v/>
      </c>
      <c r="C6">
        <f>INDEX(Grupos!$J$24:$J$29,MATCH(3,Grupos!$O$24:$O$29,0))</f>
        <v/>
      </c>
      <c r="D6">
        <f>INDEX(Grupos!$M$24:$M$29,MATCH(3,Grupos!$O$24:$O$29,0))</f>
        <v/>
      </c>
      <c r="E6">
        <f>INDEX(Grupos!$K$24:$K$29,MATCH(3,Grupos!$O$24:$O$29,0))</f>
        <v/>
      </c>
      <c r="F6">
        <f>C6*10000000+(D6+100)*10000+E6*10+(11-COUNTIF($B$4:$B$15,"&lt;"&amp;B6))</f>
        <v/>
      </c>
      <c r="G6">
        <f>RANK(F6,$F$4:$F$15)</f>
        <v/>
      </c>
      <c r="H6">
        <f>IF(G6&lt;=8,"SÍ","no")</f>
        <v/>
      </c>
    </row>
    <row r="7">
      <c r="A7" t="inlineStr">
        <is>
          <t>D</t>
        </is>
      </c>
      <c r="B7">
        <f>INDEX(Grupos!$H$33:$H$38,MATCH(3,Grupos!$O$33:$O$38,0))</f>
        <v/>
      </c>
      <c r="C7">
        <f>INDEX(Grupos!$J$33:$J$38,MATCH(3,Grupos!$O$33:$O$38,0))</f>
        <v/>
      </c>
      <c r="D7">
        <f>INDEX(Grupos!$M$33:$M$38,MATCH(3,Grupos!$O$33:$O$38,0))</f>
        <v/>
      </c>
      <c r="E7">
        <f>INDEX(Grupos!$K$33:$K$38,MATCH(3,Grupos!$O$33:$O$38,0))</f>
        <v/>
      </c>
      <c r="F7">
        <f>C7*10000000+(D7+100)*10000+E7*10+(11-COUNTIF($B$4:$B$15,"&lt;"&amp;B7))</f>
        <v/>
      </c>
      <c r="G7">
        <f>RANK(F7,$F$4:$F$15)</f>
        <v/>
      </c>
      <c r="H7">
        <f>IF(G7&lt;=8,"SÍ","no")</f>
        <v/>
      </c>
    </row>
    <row r="8">
      <c r="A8" t="inlineStr">
        <is>
          <t>E</t>
        </is>
      </c>
      <c r="B8">
        <f>INDEX(Grupos!$H$42:$H$47,MATCH(3,Grupos!$O$42:$O$47,0))</f>
        <v/>
      </c>
      <c r="C8">
        <f>INDEX(Grupos!$J$42:$J$47,MATCH(3,Grupos!$O$42:$O$47,0))</f>
        <v/>
      </c>
      <c r="D8">
        <f>INDEX(Grupos!$M$42:$M$47,MATCH(3,Grupos!$O$42:$O$47,0))</f>
        <v/>
      </c>
      <c r="E8">
        <f>INDEX(Grupos!$K$42:$K$47,MATCH(3,Grupos!$O$42:$O$47,0))</f>
        <v/>
      </c>
      <c r="F8">
        <f>C8*10000000+(D8+100)*10000+E8*10+(11-COUNTIF($B$4:$B$15,"&lt;"&amp;B8))</f>
        <v/>
      </c>
      <c r="G8">
        <f>RANK(F8,$F$4:$F$15)</f>
        <v/>
      </c>
      <c r="H8">
        <f>IF(G8&lt;=8,"SÍ","no")</f>
        <v/>
      </c>
    </row>
    <row r="9">
      <c r="A9" t="inlineStr">
        <is>
          <t>F</t>
        </is>
      </c>
      <c r="B9">
        <f>INDEX(Grupos!$H$51:$H$56,MATCH(3,Grupos!$O$51:$O$56,0))</f>
        <v/>
      </c>
      <c r="C9">
        <f>INDEX(Grupos!$J$51:$J$56,MATCH(3,Grupos!$O$51:$O$56,0))</f>
        <v/>
      </c>
      <c r="D9">
        <f>INDEX(Grupos!$M$51:$M$56,MATCH(3,Grupos!$O$51:$O$56,0))</f>
        <v/>
      </c>
      <c r="E9">
        <f>INDEX(Grupos!$K$51:$K$56,MATCH(3,Grupos!$O$51:$O$56,0))</f>
        <v/>
      </c>
      <c r="F9">
        <f>C9*10000000+(D9+100)*10000+E9*10+(11-COUNTIF($B$4:$B$15,"&lt;"&amp;B9))</f>
        <v/>
      </c>
      <c r="G9">
        <f>RANK(F9,$F$4:$F$15)</f>
        <v/>
      </c>
      <c r="H9">
        <f>IF(G9&lt;=8,"SÍ","no")</f>
        <v/>
      </c>
    </row>
    <row r="10">
      <c r="A10" t="inlineStr">
        <is>
          <t>G</t>
        </is>
      </c>
      <c r="B10">
        <f>INDEX(Grupos!$H$60:$H$65,MATCH(3,Grupos!$O$60:$O$65,0))</f>
        <v/>
      </c>
      <c r="C10">
        <f>INDEX(Grupos!$J$60:$J$65,MATCH(3,Grupos!$O$60:$O$65,0))</f>
        <v/>
      </c>
      <c r="D10">
        <f>INDEX(Grupos!$M$60:$M$65,MATCH(3,Grupos!$O$60:$O$65,0))</f>
        <v/>
      </c>
      <c r="E10">
        <f>INDEX(Grupos!$K$60:$K$65,MATCH(3,Grupos!$O$60:$O$65,0))</f>
        <v/>
      </c>
      <c r="F10">
        <f>C10*10000000+(D10+100)*10000+E10*10+(11-COUNTIF($B$4:$B$15,"&lt;"&amp;B10))</f>
        <v/>
      </c>
      <c r="G10">
        <f>RANK(F10,$F$4:$F$15)</f>
        <v/>
      </c>
      <c r="H10">
        <f>IF(G10&lt;=8,"SÍ","no")</f>
        <v/>
      </c>
    </row>
    <row r="11">
      <c r="A11" t="inlineStr">
        <is>
          <t>H</t>
        </is>
      </c>
      <c r="B11">
        <f>INDEX(Grupos!$H$69:$H$74,MATCH(3,Grupos!$O$69:$O$74,0))</f>
        <v/>
      </c>
      <c r="C11">
        <f>INDEX(Grupos!$J$69:$J$74,MATCH(3,Grupos!$O$69:$O$74,0))</f>
        <v/>
      </c>
      <c r="D11">
        <f>INDEX(Grupos!$M$69:$M$74,MATCH(3,Grupos!$O$69:$O$74,0))</f>
        <v/>
      </c>
      <c r="E11">
        <f>INDEX(Grupos!$K$69:$K$74,MATCH(3,Grupos!$O$69:$O$74,0))</f>
        <v/>
      </c>
      <c r="F11">
        <f>C11*10000000+(D11+100)*10000+E11*10+(11-COUNTIF($B$4:$B$15,"&lt;"&amp;B11))</f>
        <v/>
      </c>
      <c r="G11">
        <f>RANK(F11,$F$4:$F$15)</f>
        <v/>
      </c>
      <c r="H11">
        <f>IF(G11&lt;=8,"SÍ","no")</f>
        <v/>
      </c>
    </row>
    <row r="12">
      <c r="A12" t="inlineStr">
        <is>
          <t>I</t>
        </is>
      </c>
      <c r="B12">
        <f>INDEX(Grupos!$H$78:$H$83,MATCH(3,Grupos!$O$78:$O$83,0))</f>
        <v/>
      </c>
      <c r="C12">
        <f>INDEX(Grupos!$J$78:$J$83,MATCH(3,Grupos!$O$78:$O$83,0))</f>
        <v/>
      </c>
      <c r="D12">
        <f>INDEX(Grupos!$M$78:$M$83,MATCH(3,Grupos!$O$78:$O$83,0))</f>
        <v/>
      </c>
      <c r="E12">
        <f>INDEX(Grupos!$K$78:$K$83,MATCH(3,Grupos!$O$78:$O$83,0))</f>
        <v/>
      </c>
      <c r="F12">
        <f>C12*10000000+(D12+100)*10000+E12*10+(11-COUNTIF($B$4:$B$15,"&lt;"&amp;B12))</f>
        <v/>
      </c>
      <c r="G12">
        <f>RANK(F12,$F$4:$F$15)</f>
        <v/>
      </c>
      <c r="H12">
        <f>IF(G12&lt;=8,"SÍ","no")</f>
        <v/>
      </c>
    </row>
    <row r="13">
      <c r="A13" t="inlineStr">
        <is>
          <t>J</t>
        </is>
      </c>
      <c r="B13">
        <f>INDEX(Grupos!$H$87:$H$92,MATCH(3,Grupos!$O$87:$O$92,0))</f>
        <v/>
      </c>
      <c r="C13">
        <f>INDEX(Grupos!$J$87:$J$92,MATCH(3,Grupos!$O$87:$O$92,0))</f>
        <v/>
      </c>
      <c r="D13">
        <f>INDEX(Grupos!$M$87:$M$92,MATCH(3,Grupos!$O$87:$O$92,0))</f>
        <v/>
      </c>
      <c r="E13">
        <f>INDEX(Grupos!$K$87:$K$92,MATCH(3,Grupos!$O$87:$O$92,0))</f>
        <v/>
      </c>
      <c r="F13">
        <f>C13*10000000+(D13+100)*10000+E13*10+(11-COUNTIF($B$4:$B$15,"&lt;"&amp;B13))</f>
        <v/>
      </c>
      <c r="G13">
        <f>RANK(F13,$F$4:$F$15)</f>
        <v/>
      </c>
      <c r="H13">
        <f>IF(G13&lt;=8,"SÍ","no")</f>
        <v/>
      </c>
    </row>
    <row r="14">
      <c r="A14" t="inlineStr">
        <is>
          <t>K</t>
        </is>
      </c>
      <c r="B14">
        <f>INDEX(Grupos!$H$96:$H$101,MATCH(3,Grupos!$O$96:$O$101,0))</f>
        <v/>
      </c>
      <c r="C14">
        <f>INDEX(Grupos!$J$96:$J$101,MATCH(3,Grupos!$O$96:$O$101,0))</f>
        <v/>
      </c>
      <c r="D14">
        <f>INDEX(Grupos!$M$96:$M$101,MATCH(3,Grupos!$O$96:$O$101,0))</f>
        <v/>
      </c>
      <c r="E14">
        <f>INDEX(Grupos!$K$96:$K$101,MATCH(3,Grupos!$O$96:$O$101,0))</f>
        <v/>
      </c>
      <c r="F14">
        <f>C14*10000000+(D14+100)*10000+E14*10+(11-COUNTIF($B$4:$B$15,"&lt;"&amp;B14))</f>
        <v/>
      </c>
      <c r="G14">
        <f>RANK(F14,$F$4:$F$15)</f>
        <v/>
      </c>
      <c r="H14">
        <f>IF(G14&lt;=8,"SÍ","no")</f>
        <v/>
      </c>
    </row>
    <row r="15">
      <c r="A15" t="inlineStr">
        <is>
          <t>L</t>
        </is>
      </c>
      <c r="B15">
        <f>INDEX(Grupos!$H$105:$H$110,MATCH(3,Grupos!$O$105:$O$110,0))</f>
        <v/>
      </c>
      <c r="C15">
        <f>INDEX(Grupos!$J$105:$J$110,MATCH(3,Grupos!$O$105:$O$110,0))</f>
        <v/>
      </c>
      <c r="D15">
        <f>INDEX(Grupos!$M$105:$M$110,MATCH(3,Grupos!$O$105:$O$110,0))</f>
        <v/>
      </c>
      <c r="E15">
        <f>INDEX(Grupos!$K$105:$K$110,MATCH(3,Grupos!$O$105:$O$110,0))</f>
        <v/>
      </c>
      <c r="F15">
        <f>C15*10000000+(D15+100)*10000+E15*10+(11-COUNTIF($B$4:$B$15,"&lt;"&amp;B15))</f>
        <v/>
      </c>
      <c r="G15">
        <f>RANK(F15,$F$4:$F$15)</f>
        <v/>
      </c>
      <c r="H15">
        <f>IF(G15&lt;=8,"SÍ","no")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16" customWidth="1" min="4" max="4"/>
    <col width="9" customWidth="1" min="5" max="5"/>
    <col width="20" customWidth="1" min="6" max="6"/>
    <col width="5" customWidth="1" min="7" max="7"/>
    <col width="5" customWidth="1" min="8" max="8"/>
    <col width="20" customWidth="1" min="9" max="9"/>
    <col width="9" customWidth="1" min="10" max="10"/>
  </cols>
  <sheetData>
    <row r="1">
      <c r="A1" s="5" t="inlineStr">
        <is>
          <t>ELIMINATORIA (partidos 73-104) — llena SOLO GL/GV; SIN empates (penales = +1 gol al ganador)</t>
        </is>
      </c>
    </row>
    <row r="2">
      <c r="A2" t="inlineStr">
        <is>
          <t>Slots 1X/2X y ganadores W## por fórmula. Slots de terceros (3°): los escribe la simulación como VALOR (asignación FIFA aproximada por elegibilidad — ver data/bracket.json).</t>
        </is>
      </c>
    </row>
    <row r="4">
      <c r="A4" s="6" t="inlineStr">
        <is>
          <t>#</t>
        </is>
      </c>
      <c r="B4" s="6" t="inlineStr">
        <is>
          <t>Ronda</t>
        </is>
      </c>
      <c r="C4" s="6" t="inlineStr">
        <is>
          <t>Fecha</t>
        </is>
      </c>
      <c r="D4" s="6" t="inlineStr">
        <is>
          <t>Ciudad</t>
        </is>
      </c>
      <c r="E4" s="6" t="inlineStr">
        <is>
          <t>Slot L</t>
        </is>
      </c>
      <c r="F4" s="6" t="inlineStr">
        <is>
          <t>Local</t>
        </is>
      </c>
      <c r="G4" s="6" t="inlineStr">
        <is>
          <t>GL</t>
        </is>
      </c>
      <c r="H4" s="6" t="inlineStr">
        <is>
          <t>GV</t>
        </is>
      </c>
      <c r="I4" s="6" t="inlineStr">
        <is>
          <t>Visitante</t>
        </is>
      </c>
      <c r="J4" s="6" t="inlineStr">
        <is>
          <t>Slot V</t>
        </is>
      </c>
    </row>
    <row r="5">
      <c r="A5" t="n">
        <v>73</v>
      </c>
      <c r="B5" t="inlineStr">
        <is>
          <t>Dieciseisavos</t>
        </is>
      </c>
      <c r="C5" t="inlineStr">
        <is>
          <t>2026-06-29</t>
        </is>
      </c>
      <c r="D5" t="inlineStr">
        <is>
          <t>Los Ángeles</t>
        </is>
      </c>
      <c r="E5" t="inlineStr">
        <is>
          <t>1J</t>
        </is>
      </c>
      <c r="F5">
        <f>Grupos!$R$87</f>
        <v/>
      </c>
      <c r="G5" s="4" t="n"/>
      <c r="H5" s="4" t="n"/>
      <c r="I5">
        <f>Grupos!$R$70</f>
        <v/>
      </c>
      <c r="J5" t="inlineStr">
        <is>
          <t>2H</t>
        </is>
      </c>
    </row>
    <row r="6">
      <c r="A6" t="n">
        <v>74</v>
      </c>
      <c r="B6" t="inlineStr">
        <is>
          <t>Dieciseisavos</t>
        </is>
      </c>
      <c r="C6" t="inlineStr">
        <is>
          <t>2026-07-03</t>
        </is>
      </c>
      <c r="D6" t="inlineStr">
        <is>
          <t>Dallas</t>
        </is>
      </c>
      <c r="E6" t="inlineStr">
        <is>
          <t>2D</t>
        </is>
      </c>
      <c r="F6">
        <f>Grupos!$R$34</f>
        <v/>
      </c>
      <c r="G6" s="4" t="n"/>
      <c r="H6" s="4" t="n"/>
      <c r="I6">
        <f>Grupos!$R$61</f>
        <v/>
      </c>
      <c r="J6" t="inlineStr">
        <is>
          <t>2G</t>
        </is>
      </c>
    </row>
    <row r="7">
      <c r="A7" t="n">
        <v>75</v>
      </c>
      <c r="B7" t="inlineStr">
        <is>
          <t>Dieciseisavos</t>
        </is>
      </c>
      <c r="C7" t="inlineStr">
        <is>
          <t>2026-07-03</t>
        </is>
      </c>
      <c r="D7" t="inlineStr">
        <is>
          <t>Filadelfia</t>
        </is>
      </c>
      <c r="E7" t="inlineStr">
        <is>
          <t>1K</t>
        </is>
      </c>
      <c r="F7">
        <f>Grupos!$R$96</f>
        <v/>
      </c>
      <c r="G7" s="4" t="n"/>
      <c r="H7" s="4" t="n"/>
      <c r="I7" t="inlineStr">
        <is>
          <t>(simulación)</t>
        </is>
      </c>
      <c r="J7" t="inlineStr">
        <is>
          <t>3_DEIJL</t>
        </is>
      </c>
    </row>
    <row r="8">
      <c r="A8" t="n">
        <v>76</v>
      </c>
      <c r="B8" t="inlineStr">
        <is>
          <t>Dieciseisavos</t>
        </is>
      </c>
      <c r="C8" t="inlineStr">
        <is>
          <t>2026-07-02</t>
        </is>
      </c>
      <c r="D8" t="inlineStr">
        <is>
          <t>Toronto</t>
        </is>
      </c>
      <c r="E8" t="inlineStr">
        <is>
          <t>1G</t>
        </is>
      </c>
      <c r="F8">
        <f>Grupos!$R$60</f>
        <v/>
      </c>
      <c r="G8" s="4" t="n"/>
      <c r="H8" s="4" t="n"/>
      <c r="I8" t="inlineStr">
        <is>
          <t>(simulación)</t>
        </is>
      </c>
      <c r="J8" t="inlineStr">
        <is>
          <t>3_AEHIJ</t>
        </is>
      </c>
    </row>
    <row r="9">
      <c r="A9" t="n">
        <v>77</v>
      </c>
      <c r="B9" t="inlineStr">
        <is>
          <t>Dieciseisavos</t>
        </is>
      </c>
      <c r="C9" t="inlineStr">
        <is>
          <t>2026-06-29</t>
        </is>
      </c>
      <c r="D9" t="inlineStr">
        <is>
          <t>Houston</t>
        </is>
      </c>
      <c r="E9" t="inlineStr">
        <is>
          <t>1C</t>
        </is>
      </c>
      <c r="F9">
        <f>Grupos!$R$24</f>
        <v/>
      </c>
      <c r="G9" s="4" t="n"/>
      <c r="H9" s="4" t="n"/>
      <c r="I9">
        <f>Grupos!$R$52</f>
        <v/>
      </c>
      <c r="J9" t="inlineStr">
        <is>
          <t>2F</t>
        </is>
      </c>
    </row>
    <row r="10">
      <c r="A10" t="n">
        <v>78</v>
      </c>
      <c r="B10" t="inlineStr">
        <is>
          <t>Dieciseisavos</t>
        </is>
      </c>
      <c r="C10" t="inlineStr">
        <is>
          <t>2026-06-30</t>
        </is>
      </c>
      <c r="D10" t="inlineStr">
        <is>
          <t>San Francisco</t>
        </is>
      </c>
      <c r="E10" t="inlineStr">
        <is>
          <t>2E</t>
        </is>
      </c>
      <c r="F10">
        <f>Grupos!$R$43</f>
        <v/>
      </c>
      <c r="G10" s="4" t="n"/>
      <c r="H10" s="4" t="n"/>
      <c r="I10">
        <f>Grupos!$R$79</f>
        <v/>
      </c>
      <c r="J10" t="inlineStr">
        <is>
          <t>2I</t>
        </is>
      </c>
    </row>
    <row r="11">
      <c r="A11" t="n">
        <v>79</v>
      </c>
      <c r="B11" t="inlineStr">
        <is>
          <t>Dieciseisavos</t>
        </is>
      </c>
      <c r="C11" t="inlineStr">
        <is>
          <t>2026-07-02</t>
        </is>
      </c>
      <c r="D11" t="inlineStr">
        <is>
          <t>Boston</t>
        </is>
      </c>
      <c r="E11" t="inlineStr">
        <is>
          <t>1L</t>
        </is>
      </c>
      <c r="F11">
        <f>Grupos!$R$105</f>
        <v/>
      </c>
      <c r="G11" s="4" t="n"/>
      <c r="H11" s="4" t="n"/>
      <c r="I11" t="inlineStr">
        <is>
          <t>(simulación)</t>
        </is>
      </c>
      <c r="J11" t="inlineStr">
        <is>
          <t>3_EHIJK</t>
        </is>
      </c>
    </row>
    <row r="12">
      <c r="A12" t="n">
        <v>80</v>
      </c>
      <c r="B12" t="inlineStr">
        <is>
          <t>Dieciseisavos</t>
        </is>
      </c>
      <c r="C12" t="inlineStr">
        <is>
          <t>2026-06-30</t>
        </is>
      </c>
      <c r="D12" t="inlineStr">
        <is>
          <t>Ciudad de México</t>
        </is>
      </c>
      <c r="E12" t="inlineStr">
        <is>
          <t>1A</t>
        </is>
      </c>
      <c r="F12">
        <f>Grupos!$R$6</f>
        <v/>
      </c>
      <c r="G12" s="4" t="n"/>
      <c r="H12" s="4" t="n"/>
      <c r="I12" t="inlineStr">
        <is>
          <t>(simulación)</t>
        </is>
      </c>
      <c r="J12" t="inlineStr">
        <is>
          <t>3_CEFHI</t>
        </is>
      </c>
    </row>
    <row r="13">
      <c r="A13" t="n">
        <v>81</v>
      </c>
      <c r="B13" t="inlineStr">
        <is>
          <t>Dieciseisavos</t>
        </is>
      </c>
      <c r="C13" t="inlineStr">
        <is>
          <t>2026-07-02</t>
        </is>
      </c>
      <c r="D13" t="inlineStr">
        <is>
          <t>Los Ángeles</t>
        </is>
      </c>
      <c r="E13" t="inlineStr">
        <is>
          <t>1H</t>
        </is>
      </c>
      <c r="F13">
        <f>Grupos!$R$69</f>
        <v/>
      </c>
      <c r="G13" s="4" t="n"/>
      <c r="H13" s="4" t="n"/>
      <c r="I13">
        <f>Grupos!$R$88</f>
        <v/>
      </c>
      <c r="J13" t="inlineStr">
        <is>
          <t>2J</t>
        </is>
      </c>
    </row>
    <row r="14">
      <c r="A14" t="n">
        <v>82</v>
      </c>
      <c r="B14" t="inlineStr">
        <is>
          <t>Dieciseisavos</t>
        </is>
      </c>
      <c r="C14" t="inlineStr">
        <is>
          <t>2026-06-28</t>
        </is>
      </c>
      <c r="D14" t="inlineStr">
        <is>
          <t>Los Ángeles</t>
        </is>
      </c>
      <c r="E14" t="inlineStr">
        <is>
          <t>2A</t>
        </is>
      </c>
      <c r="F14">
        <f>Grupos!$R$7</f>
        <v/>
      </c>
      <c r="G14" s="4" t="n"/>
      <c r="H14" s="4" t="n"/>
      <c r="I14">
        <f>Grupos!$R$16</f>
        <v/>
      </c>
      <c r="J14" t="inlineStr">
        <is>
          <t>2B</t>
        </is>
      </c>
    </row>
    <row r="15">
      <c r="A15" t="n">
        <v>83</v>
      </c>
      <c r="B15" t="inlineStr">
        <is>
          <t>Dieciseisavos</t>
        </is>
      </c>
      <c r="C15" t="inlineStr">
        <is>
          <t>2026-06-29</t>
        </is>
      </c>
      <c r="D15" t="inlineStr">
        <is>
          <t>Monterrey</t>
        </is>
      </c>
      <c r="E15" t="inlineStr">
        <is>
          <t>1F</t>
        </is>
      </c>
      <c r="F15">
        <f>Grupos!$R$51</f>
        <v/>
      </c>
      <c r="G15" s="4" t="n"/>
      <c r="H15" s="4" t="n"/>
      <c r="I15">
        <f>Grupos!$R$25</f>
        <v/>
      </c>
      <c r="J15" t="inlineStr">
        <is>
          <t>2C</t>
        </is>
      </c>
    </row>
    <row r="16">
      <c r="A16" t="n">
        <v>84</v>
      </c>
      <c r="B16" t="inlineStr">
        <is>
          <t>Dieciseisavos</t>
        </is>
      </c>
      <c r="C16" t="inlineStr">
        <is>
          <t>2026-07-02</t>
        </is>
      </c>
      <c r="D16" t="inlineStr">
        <is>
          <t>Vancouver</t>
        </is>
      </c>
      <c r="E16" t="inlineStr">
        <is>
          <t>1B</t>
        </is>
      </c>
      <c r="F16">
        <f>Grupos!$R$15</f>
        <v/>
      </c>
      <c r="G16" s="4" t="n"/>
      <c r="H16" s="4" t="n"/>
      <c r="I16" t="inlineStr">
        <is>
          <t>(simulación)</t>
        </is>
      </c>
      <c r="J16" t="inlineStr">
        <is>
          <t>3_EFGIJ</t>
        </is>
      </c>
    </row>
    <row r="17">
      <c r="A17" t="n">
        <v>85</v>
      </c>
      <c r="B17" t="inlineStr">
        <is>
          <t>Dieciseisavos</t>
        </is>
      </c>
      <c r="C17" t="inlineStr">
        <is>
          <t>2026-06-30</t>
        </is>
      </c>
      <c r="D17" t="inlineStr">
        <is>
          <t>Nueva York</t>
        </is>
      </c>
      <c r="E17" t="inlineStr">
        <is>
          <t>1I</t>
        </is>
      </c>
      <c r="F17">
        <f>Grupos!$R$78</f>
        <v/>
      </c>
      <c r="G17" s="4" t="n"/>
      <c r="H17" s="4" t="n"/>
      <c r="I17" t="inlineStr">
        <is>
          <t>(simulación)</t>
        </is>
      </c>
      <c r="J17" t="inlineStr">
        <is>
          <t>3_CDFGH</t>
        </is>
      </c>
    </row>
    <row r="18">
      <c r="A18" t="n">
        <v>86</v>
      </c>
      <c r="B18" t="inlineStr">
        <is>
          <t>Dieciseisavos</t>
        </is>
      </c>
      <c r="C18" t="inlineStr">
        <is>
          <t>2026-07-01</t>
        </is>
      </c>
      <c r="D18" t="inlineStr">
        <is>
          <t>Atlanta</t>
        </is>
      </c>
      <c r="E18" t="inlineStr">
        <is>
          <t>2K</t>
        </is>
      </c>
      <c r="F18">
        <f>Grupos!$R$97</f>
        <v/>
      </c>
      <c r="G18" s="4" t="n"/>
      <c r="H18" s="4" t="n"/>
      <c r="I18">
        <f>Grupos!$R$106</f>
        <v/>
      </c>
      <c r="J18" t="inlineStr">
        <is>
          <t>2L</t>
        </is>
      </c>
    </row>
    <row r="19">
      <c r="A19" t="n">
        <v>87</v>
      </c>
      <c r="B19" t="inlineStr">
        <is>
          <t>Dieciseisavos</t>
        </is>
      </c>
      <c r="C19" t="inlineStr">
        <is>
          <t>2026-07-01</t>
        </is>
      </c>
      <c r="D19" t="inlineStr">
        <is>
          <t>Seattle</t>
        </is>
      </c>
      <c r="E19" t="inlineStr">
        <is>
          <t>1E</t>
        </is>
      </c>
      <c r="F19">
        <f>Grupos!$R$42</f>
        <v/>
      </c>
      <c r="G19" s="4" t="n"/>
      <c r="H19" s="4" t="n"/>
      <c r="I19" t="inlineStr">
        <is>
          <t>(simulación)</t>
        </is>
      </c>
      <c r="J19" t="inlineStr">
        <is>
          <t>3_ABCDF</t>
        </is>
      </c>
    </row>
    <row r="20">
      <c r="A20" t="n">
        <v>88</v>
      </c>
      <c r="B20" t="inlineStr">
        <is>
          <t>Dieciseisavos</t>
        </is>
      </c>
      <c r="C20" t="inlineStr">
        <is>
          <t>2026-07-03</t>
        </is>
      </c>
      <c r="D20" t="inlineStr">
        <is>
          <t>Kansas City</t>
        </is>
      </c>
      <c r="E20" t="inlineStr">
        <is>
          <t>1D</t>
        </is>
      </c>
      <c r="F20">
        <f>Grupos!$R$33</f>
        <v/>
      </c>
      <c r="G20" s="4" t="n"/>
      <c r="H20" s="4" t="n"/>
      <c r="I20" t="inlineStr">
        <is>
          <t>(simulación)</t>
        </is>
      </c>
      <c r="J20" t="inlineStr">
        <is>
          <t>3_BEFIJ</t>
        </is>
      </c>
    </row>
    <row r="21">
      <c r="A21" t="n">
        <v>89</v>
      </c>
      <c r="B21" t="inlineStr">
        <is>
          <t>Octavos</t>
        </is>
      </c>
      <c r="C21" t="inlineStr">
        <is>
          <t>2026-07-04</t>
        </is>
      </c>
      <c r="D21" t="inlineStr">
        <is>
          <t>Houston</t>
        </is>
      </c>
      <c r="E21" t="inlineStr">
        <is>
          <t>W73</t>
        </is>
      </c>
      <c r="F21">
        <f>IF(G5&gt;H5,F5,I5)</f>
        <v/>
      </c>
      <c r="G21" s="4" t="n"/>
      <c r="H21" s="4" t="n"/>
      <c r="I21">
        <f>IF(G6&gt;H6,F6,I6)</f>
        <v/>
      </c>
      <c r="J21" t="inlineStr">
        <is>
          <t>W74</t>
        </is>
      </c>
    </row>
    <row r="22">
      <c r="A22" t="n">
        <v>90</v>
      </c>
      <c r="B22" t="inlineStr">
        <is>
          <t>Octavos</t>
        </is>
      </c>
      <c r="C22" t="inlineStr">
        <is>
          <t>2026-07-04</t>
        </is>
      </c>
      <c r="D22" t="inlineStr">
        <is>
          <t>Filadelfia</t>
        </is>
      </c>
      <c r="E22" t="inlineStr">
        <is>
          <t>W75</t>
        </is>
      </c>
      <c r="F22">
        <f>IF(G7&gt;H7,F7,I7)</f>
        <v/>
      </c>
      <c r="G22" s="4" t="n"/>
      <c r="H22" s="4" t="n"/>
      <c r="I22">
        <f>IF(G8&gt;H8,F8,I8)</f>
        <v/>
      </c>
      <c r="J22" t="inlineStr">
        <is>
          <t>W76</t>
        </is>
      </c>
    </row>
    <row r="23">
      <c r="A23" t="n">
        <v>91</v>
      </c>
      <c r="B23" t="inlineStr">
        <is>
          <t>Octavos</t>
        </is>
      </c>
      <c r="C23" t="inlineStr">
        <is>
          <t>2026-07-05</t>
        </is>
      </c>
      <c r="D23" t="inlineStr">
        <is>
          <t>Nueva York</t>
        </is>
      </c>
      <c r="E23" t="inlineStr">
        <is>
          <t>W77</t>
        </is>
      </c>
      <c r="F23">
        <f>IF(G9&gt;H9,F9,I9)</f>
        <v/>
      </c>
      <c r="G23" s="4" t="n"/>
      <c r="H23" s="4" t="n"/>
      <c r="I23">
        <f>IF(G10&gt;H10,F10,I10)</f>
        <v/>
      </c>
      <c r="J23" t="inlineStr">
        <is>
          <t>W78</t>
        </is>
      </c>
    </row>
    <row r="24">
      <c r="A24" t="n">
        <v>92</v>
      </c>
      <c r="B24" t="inlineStr">
        <is>
          <t>Octavos</t>
        </is>
      </c>
      <c r="C24" t="inlineStr">
        <is>
          <t>2026-07-05</t>
        </is>
      </c>
      <c r="D24" t="inlineStr">
        <is>
          <t>Ciudad de México</t>
        </is>
      </c>
      <c r="E24" t="inlineStr">
        <is>
          <t>W79</t>
        </is>
      </c>
      <c r="F24">
        <f>IF(G11&gt;H11,F11,I11)</f>
        <v/>
      </c>
      <c r="G24" s="4" t="n"/>
      <c r="H24" s="4" t="n"/>
      <c r="I24">
        <f>IF(G12&gt;H12,F12,I12)</f>
        <v/>
      </c>
      <c r="J24" t="inlineStr">
        <is>
          <t>W80</t>
        </is>
      </c>
    </row>
    <row r="25">
      <c r="A25" t="n">
        <v>93</v>
      </c>
      <c r="B25" t="inlineStr">
        <is>
          <t>Octavos</t>
        </is>
      </c>
      <c r="C25" t="inlineStr">
        <is>
          <t>2026-07-06</t>
        </is>
      </c>
      <c r="D25" t="inlineStr">
        <is>
          <t>Dallas</t>
        </is>
      </c>
      <c r="E25" t="inlineStr">
        <is>
          <t>W81</t>
        </is>
      </c>
      <c r="F25">
        <f>IF(G13&gt;H13,F13,I13)</f>
        <v/>
      </c>
      <c r="G25" s="4" t="n"/>
      <c r="H25" s="4" t="n"/>
      <c r="I25">
        <f>IF(G14&gt;H14,F14,I14)</f>
        <v/>
      </c>
      <c r="J25" t="inlineStr">
        <is>
          <t>W82</t>
        </is>
      </c>
    </row>
    <row r="26">
      <c r="A26" t="n">
        <v>94</v>
      </c>
      <c r="B26" t="inlineStr">
        <is>
          <t>Octavos</t>
        </is>
      </c>
      <c r="C26" t="inlineStr">
        <is>
          <t>2026-07-06</t>
        </is>
      </c>
      <c r="D26" t="inlineStr">
        <is>
          <t>Seattle</t>
        </is>
      </c>
      <c r="E26" t="inlineStr">
        <is>
          <t>W83</t>
        </is>
      </c>
      <c r="F26">
        <f>IF(G15&gt;H15,F15,I15)</f>
        <v/>
      </c>
      <c r="G26" s="4" t="n"/>
      <c r="H26" s="4" t="n"/>
      <c r="I26">
        <f>IF(G16&gt;H16,F16,I16)</f>
        <v/>
      </c>
      <c r="J26" t="inlineStr">
        <is>
          <t>W84</t>
        </is>
      </c>
    </row>
    <row r="27">
      <c r="A27" t="n">
        <v>95</v>
      </c>
      <c r="B27" t="inlineStr">
        <is>
          <t>Octavos</t>
        </is>
      </c>
      <c r="C27" t="inlineStr">
        <is>
          <t>2026-07-07</t>
        </is>
      </c>
      <c r="D27" t="inlineStr">
        <is>
          <t>Atlanta</t>
        </is>
      </c>
      <c r="E27" t="inlineStr">
        <is>
          <t>W85</t>
        </is>
      </c>
      <c r="F27">
        <f>IF(G17&gt;H17,F17,I17)</f>
        <v/>
      </c>
      <c r="G27" s="4" t="n"/>
      <c r="H27" s="4" t="n"/>
      <c r="I27">
        <f>IF(G18&gt;H18,F18,I18)</f>
        <v/>
      </c>
      <c r="J27" t="inlineStr">
        <is>
          <t>W86</t>
        </is>
      </c>
    </row>
    <row r="28">
      <c r="A28" t="n">
        <v>96</v>
      </c>
      <c r="B28" t="inlineStr">
        <is>
          <t>Octavos</t>
        </is>
      </c>
      <c r="C28" t="inlineStr">
        <is>
          <t>2026-07-07</t>
        </is>
      </c>
      <c r="D28" t="inlineStr">
        <is>
          <t>Vancouver</t>
        </is>
      </c>
      <c r="E28" t="inlineStr">
        <is>
          <t>W87</t>
        </is>
      </c>
      <c r="F28">
        <f>IF(G19&gt;H19,F19,I19)</f>
        <v/>
      </c>
      <c r="G28" s="4" t="n"/>
      <c r="H28" s="4" t="n"/>
      <c r="I28">
        <f>IF(G20&gt;H20,F20,I20)</f>
        <v/>
      </c>
      <c r="J28" t="inlineStr">
        <is>
          <t>W88</t>
        </is>
      </c>
    </row>
    <row r="29">
      <c r="A29" t="n">
        <v>97</v>
      </c>
      <c r="B29" t="inlineStr">
        <is>
          <t>Cuartos</t>
        </is>
      </c>
      <c r="C29" t="inlineStr">
        <is>
          <t>2026-07-11</t>
        </is>
      </c>
      <c r="D29" t="inlineStr">
        <is>
          <t>Kansas City</t>
        </is>
      </c>
      <c r="E29" t="inlineStr">
        <is>
          <t>W89</t>
        </is>
      </c>
      <c r="F29">
        <f>IF(G21&gt;H21,F21,I21)</f>
        <v/>
      </c>
      <c r="G29" s="4" t="n"/>
      <c r="H29" s="4" t="n"/>
      <c r="I29">
        <f>IF(G22&gt;H22,F22,I22)</f>
        <v/>
      </c>
      <c r="J29" t="inlineStr">
        <is>
          <t>W90</t>
        </is>
      </c>
    </row>
    <row r="30">
      <c r="A30" t="n">
        <v>98</v>
      </c>
      <c r="B30" t="inlineStr">
        <is>
          <t>Cuartos</t>
        </is>
      </c>
      <c r="C30" t="inlineStr">
        <is>
          <t>2026-07-11</t>
        </is>
      </c>
      <c r="D30" t="inlineStr">
        <is>
          <t>Miami</t>
        </is>
      </c>
      <c r="E30" t="inlineStr">
        <is>
          <t>W91</t>
        </is>
      </c>
      <c r="F30">
        <f>IF(G23&gt;H23,F23,I23)</f>
        <v/>
      </c>
      <c r="G30" s="4" t="n"/>
      <c r="H30" s="4" t="n"/>
      <c r="I30">
        <f>IF(G24&gt;H24,F24,I24)</f>
        <v/>
      </c>
      <c r="J30" t="inlineStr">
        <is>
          <t>W92</t>
        </is>
      </c>
    </row>
    <row r="31">
      <c r="A31" t="n">
        <v>99</v>
      </c>
      <c r="B31" t="inlineStr">
        <is>
          <t>Cuartos</t>
        </is>
      </c>
      <c r="C31" t="inlineStr">
        <is>
          <t>2026-07-09</t>
        </is>
      </c>
      <c r="D31" t="inlineStr">
        <is>
          <t>Boston</t>
        </is>
      </c>
      <c r="E31" t="inlineStr">
        <is>
          <t>W93</t>
        </is>
      </c>
      <c r="F31">
        <f>IF(G25&gt;H25,F25,I25)</f>
        <v/>
      </c>
      <c r="G31" s="4" t="n"/>
      <c r="H31" s="4" t="n"/>
      <c r="I31">
        <f>IF(G26&gt;H26,F26,I26)</f>
        <v/>
      </c>
      <c r="J31" t="inlineStr">
        <is>
          <t>W94</t>
        </is>
      </c>
    </row>
    <row r="32">
      <c r="A32" t="n">
        <v>100</v>
      </c>
      <c r="B32" t="inlineStr">
        <is>
          <t>Cuartos</t>
        </is>
      </c>
      <c r="C32" t="inlineStr">
        <is>
          <t>2026-07-10</t>
        </is>
      </c>
      <c r="D32" t="inlineStr">
        <is>
          <t>Los Ángeles</t>
        </is>
      </c>
      <c r="E32" t="inlineStr">
        <is>
          <t>W95</t>
        </is>
      </c>
      <c r="F32">
        <f>IF(G27&gt;H27,F27,I27)</f>
        <v/>
      </c>
      <c r="G32" s="4" t="n"/>
      <c r="H32" s="4" t="n"/>
      <c r="I32">
        <f>IF(G28&gt;H28,F28,I28)</f>
        <v/>
      </c>
      <c r="J32" t="inlineStr">
        <is>
          <t>W96</t>
        </is>
      </c>
    </row>
    <row r="33">
      <c r="A33" t="n">
        <v>101</v>
      </c>
      <c r="B33" t="inlineStr">
        <is>
          <t>Semifinal</t>
        </is>
      </c>
      <c r="C33" t="inlineStr">
        <is>
          <t>2026-07-15</t>
        </is>
      </c>
      <c r="D33" t="inlineStr">
        <is>
          <t>Atlanta</t>
        </is>
      </c>
      <c r="E33" t="inlineStr">
        <is>
          <t>W97</t>
        </is>
      </c>
      <c r="F33">
        <f>IF(G29&gt;H29,F29,I29)</f>
        <v/>
      </c>
      <c r="G33" s="4" t="n"/>
      <c r="H33" s="4" t="n"/>
      <c r="I33">
        <f>IF(G30&gt;H30,F30,I30)</f>
        <v/>
      </c>
      <c r="J33" t="inlineStr">
        <is>
          <t>W98</t>
        </is>
      </c>
    </row>
    <row r="34">
      <c r="A34" t="n">
        <v>102</v>
      </c>
      <c r="B34" t="inlineStr">
        <is>
          <t>Semifinal</t>
        </is>
      </c>
      <c r="C34" t="inlineStr">
        <is>
          <t>2026-07-14</t>
        </is>
      </c>
      <c r="D34" t="inlineStr">
        <is>
          <t>Dallas</t>
        </is>
      </c>
      <c r="E34" t="inlineStr">
        <is>
          <t>W99</t>
        </is>
      </c>
      <c r="F34">
        <f>IF(G31&gt;H31,F31,I31)</f>
        <v/>
      </c>
      <c r="G34" s="4" t="n"/>
      <c r="H34" s="4" t="n"/>
      <c r="I34">
        <f>IF(G32&gt;H32,F32,I32)</f>
        <v/>
      </c>
      <c r="J34" t="inlineStr">
        <is>
          <t>W100</t>
        </is>
      </c>
    </row>
    <row r="35">
      <c r="A35" t="n">
        <v>103</v>
      </c>
      <c r="B35" t="inlineStr">
        <is>
          <t>3er lugar</t>
        </is>
      </c>
      <c r="C35" t="inlineStr">
        <is>
          <t>2026-07-18</t>
        </is>
      </c>
      <c r="D35" t="inlineStr">
        <is>
          <t>Miami</t>
        </is>
      </c>
      <c r="E35" t="inlineStr">
        <is>
          <t>L101</t>
        </is>
      </c>
      <c r="F35">
        <f>IF(G33&gt;H33,I33,F33)</f>
        <v/>
      </c>
      <c r="G35" s="4" t="n"/>
      <c r="H35" s="4" t="n"/>
      <c r="I35">
        <f>IF(G34&gt;H34,I34,F34)</f>
        <v/>
      </c>
      <c r="J35" t="inlineStr">
        <is>
          <t>L102</t>
        </is>
      </c>
    </row>
    <row r="36">
      <c r="A36" t="n">
        <v>104</v>
      </c>
      <c r="B36" t="inlineStr">
        <is>
          <t>FINAL</t>
        </is>
      </c>
      <c r="C36" t="inlineStr">
        <is>
          <t>2026-07-19</t>
        </is>
      </c>
      <c r="D36" t="inlineStr">
        <is>
          <t>Nueva York</t>
        </is>
      </c>
      <c r="E36" t="inlineStr">
        <is>
          <t>W101</t>
        </is>
      </c>
      <c r="F36">
        <f>IF(G33&gt;H33,F33,I33)</f>
        <v/>
      </c>
      <c r="G36" s="4" t="n"/>
      <c r="H36" s="4" t="n"/>
      <c r="I36">
        <f>IF(G34&gt;H34,F34,I34)</f>
        <v/>
      </c>
      <c r="J36" t="inlineStr">
        <is>
          <t>W102</t>
        </is>
      </c>
    </row>
    <row r="38">
      <c r="A38" s="7" t="inlineStr">
        <is>
          <t>CAMPEÓN:</t>
        </is>
      </c>
      <c r="B38">
        <f>IF(G36&gt;H36,F36,I36)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5" t="inlineStr">
        <is>
          <t>PREGUNTAS EXTRA (25 pts c/u)</t>
        </is>
      </c>
    </row>
    <row r="3">
      <c r="A3" t="inlineStr">
        <is>
          <t>Bota de Oro (máximo goleador):</t>
        </is>
      </c>
      <c r="B3" s="4" t="n"/>
    </row>
    <row r="4">
      <c r="A4" t="inlineStr">
        <is>
          <t>Último lugar del torneo:</t>
        </is>
      </c>
      <c r="B4" s="4" t="n"/>
    </row>
    <row r="6">
      <c r="A6" s="7" t="inlineStr">
        <is>
          <t>DATOS DEL PARTICIPANTE (dejar en blanco)</t>
        </is>
      </c>
    </row>
    <row r="7">
      <c r="A7" t="inlineStr">
        <is>
          <t>Nombre:</t>
        </is>
      </c>
    </row>
    <row r="8">
      <c r="A8" t="inlineStr">
        <is>
          <t>Email:</t>
        </is>
      </c>
    </row>
    <row r="9">
      <c r="A9" t="inlineStr">
        <is>
          <t>Teléfono: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2026-06-11T05:44:49Z</dcterms:created>
  <dcterms:modified xsi:type="dcterms:W3CDTF">2026-06-11T05:44:49Z</dcterms:modified>
</cp:coreProperties>
</file>